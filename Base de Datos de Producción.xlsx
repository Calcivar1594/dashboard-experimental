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strisodasa-my.sharepoint.com/personal/calcivar_grupofajardo_com_ec/Documents/Escritorio/Area Experimental/"/>
    </mc:Choice>
  </mc:AlternateContent>
  <xr:revisionPtr revIDLastSave="263" documentId="8_{B955A4F6-84E5-430B-B709-3831968721F7}" xr6:coauthVersionLast="47" xr6:coauthVersionMax="47" xr10:uidLastSave="{B270D472-2B46-4C42-ADB1-E0DBEBDAB711}"/>
  <bookViews>
    <workbookView xWindow="-108" yWindow="-108" windowWidth="23256" windowHeight="12456" xr2:uid="{28CED21C-C055-4F6A-9369-9E65775F9B6E}"/>
  </bookViews>
  <sheets>
    <sheet name="Produccion" sheetId="1" r:id="rId1"/>
  </sheets>
  <definedNames>
    <definedName name="_xlnm._FilterDatabase" localSheetId="0" hidden="1">Produccion!$A$1:$AE$67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62" i="1" l="1"/>
  <c r="U62" i="1"/>
  <c r="U63" i="1"/>
  <c r="T67" i="1"/>
  <c r="U67" i="1" s="1"/>
  <c r="V67" i="1" s="1"/>
  <c r="T66" i="1"/>
  <c r="U66" i="1" s="1"/>
  <c r="V66" i="1" s="1"/>
  <c r="T65" i="1"/>
  <c r="U65" i="1" s="1"/>
  <c r="V65" i="1" s="1"/>
  <c r="U64" i="1"/>
  <c r="V64" i="1" s="1"/>
  <c r="T47" i="1"/>
  <c r="U47" i="1" s="1"/>
  <c r="V47" i="1" s="1"/>
  <c r="T41" i="1"/>
  <c r="U41" i="1" s="1"/>
  <c r="V41" i="1" s="1"/>
  <c r="T61" i="1"/>
  <c r="U61" i="1" s="1"/>
  <c r="V61" i="1" s="1"/>
  <c r="T60" i="1"/>
  <c r="U60" i="1" s="1"/>
  <c r="V60" i="1" s="1"/>
  <c r="T59" i="1"/>
  <c r="U59" i="1" s="1"/>
  <c r="V59" i="1" s="1"/>
  <c r="U58" i="1"/>
  <c r="V58" i="1" s="1"/>
</calcChain>
</file>

<file path=xl/sharedStrings.xml><?xml version="1.0" encoding="utf-8"?>
<sst xmlns="http://schemas.openxmlformats.org/spreadsheetml/2006/main" count="493" uniqueCount="47">
  <si>
    <t>AÑO</t>
  </si>
  <si>
    <t>SEMANA</t>
  </si>
  <si>
    <t>Piscina</t>
  </si>
  <si>
    <t>Pisc.No</t>
  </si>
  <si>
    <t>Ciclo Kraken</t>
  </si>
  <si>
    <t>Ciclo</t>
  </si>
  <si>
    <t>Sector</t>
  </si>
  <si>
    <t>Zona</t>
  </si>
  <si>
    <t>Has</t>
  </si>
  <si>
    <t>Etapa</t>
  </si>
  <si>
    <t>LI001</t>
  </si>
  <si>
    <t>EXPERIMENTAL</t>
  </si>
  <si>
    <t>ENGORDE</t>
  </si>
  <si>
    <t>LI002</t>
  </si>
  <si>
    <t>LI003</t>
  </si>
  <si>
    <t>LI004</t>
  </si>
  <si>
    <t>LI005</t>
  </si>
  <si>
    <t>LI006</t>
  </si>
  <si>
    <t>F.siembra</t>
  </si>
  <si>
    <t>F.muestreo</t>
  </si>
  <si>
    <t>Días Produccion</t>
  </si>
  <si>
    <t>Peso Actual</t>
  </si>
  <si>
    <t>%Sobrev. Tecnico</t>
  </si>
  <si>
    <t>%Sobrev Tabla</t>
  </si>
  <si>
    <t>%Sobrev Total</t>
  </si>
  <si>
    <t>Densidad</t>
  </si>
  <si>
    <t>Libras</t>
  </si>
  <si>
    <t>Libras/Ha</t>
  </si>
  <si>
    <t>Libras/Ha/Dia</t>
  </si>
  <si>
    <t>AQUATECH CM INICIO 35% GF (0.8 X 1.2)</t>
  </si>
  <si>
    <t>AQUATECH</t>
  </si>
  <si>
    <t>VOLEO</t>
  </si>
  <si>
    <t>AQUATECH 0,8 mm (40%)  AQUATECH 1,2 mm (60%)</t>
  </si>
  <si>
    <t>AQUATECH 1,2 mm</t>
  </si>
  <si>
    <t xml:space="preserve">AQUATECH F2 1,9 mm </t>
  </si>
  <si>
    <t>TIMER</t>
  </si>
  <si>
    <t>SONIC</t>
  </si>
  <si>
    <t>Tipos alimento</t>
  </si>
  <si>
    <t>Proveedor Balanc.</t>
  </si>
  <si>
    <t>Tipo.alim ult. Sem</t>
  </si>
  <si>
    <t>Tipo de alimentacion</t>
  </si>
  <si>
    <t>FCA</t>
  </si>
  <si>
    <t>$.Costo</t>
  </si>
  <si>
    <t>$.Costo/Ha</t>
  </si>
  <si>
    <t>$.Costo/Lb</t>
  </si>
  <si>
    <t>$.Costo/Un</t>
  </si>
  <si>
    <t>Incremento 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</si>
</sst>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C6E0B4"/>
        <bgColor rgb="FF000000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2" fillId="0" borderId="3" xfId="0" applyFont="1" applyBorder="1"/>
    <xf numFmtId="0" fontId="3" fillId="0" borderId="3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2" fillId="0" borderId="4" xfId="0" applyFont="1" applyBorder="1"/>
    <xf numFmtId="0" fontId="3" fillId="0" borderId="4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left"/>
    </xf>
    <xf numFmtId="14" fontId="4" fillId="0" borderId="3" xfId="0" applyNumberFormat="1" applyFont="1" applyBorder="1"/>
    <xf numFmtId="15" fontId="4" fillId="0" borderId="3" xfId="0" applyNumberFormat="1" applyFont="1" applyBorder="1"/>
    <xf numFmtId="14" fontId="4" fillId="0" borderId="4" xfId="0" applyNumberFormat="1" applyFont="1" applyBorder="1"/>
    <xf numFmtId="15" fontId="4" fillId="0" borderId="4" xfId="0" applyNumberFormat="1" applyFont="1" applyBorder="1"/>
    <xf numFmtId="0" fontId="1" fillId="5" borderId="2" xfId="0" applyFont="1" applyFill="1" applyBorder="1" applyAlignment="1">
      <alignment horizontal="center"/>
    </xf>
    <xf numFmtId="3" fontId="4" fillId="0" borderId="3" xfId="0" applyNumberFormat="1" applyFont="1" applyBorder="1"/>
    <xf numFmtId="3" fontId="4" fillId="0" borderId="4" xfId="0" applyNumberFormat="1" applyFont="1" applyBorder="1"/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4" fontId="4" fillId="0" borderId="3" xfId="0" applyNumberFormat="1" applyFont="1" applyBorder="1"/>
    <xf numFmtId="4" fontId="4" fillId="0" borderId="4" xfId="0" applyNumberFormat="1" applyFont="1" applyBorder="1"/>
    <xf numFmtId="1" fontId="4" fillId="0" borderId="4" xfId="0" applyNumberFormat="1" applyFont="1" applyBorder="1"/>
    <xf numFmtId="1" fontId="4" fillId="0" borderId="3" xfId="0" applyNumberFormat="1" applyFont="1" applyBorder="1"/>
    <xf numFmtId="0" fontId="4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1F4C-F789-4902-887C-1D2717126825}">
  <sheetPr filterMode="1"/>
  <dimension ref="A1:AE67"/>
  <sheetViews>
    <sheetView tabSelected="1" workbookViewId="0">
      <selection activeCell="AA71" sqref="AA71"/>
    </sheetView>
  </sheetViews>
  <sheetFormatPr baseColWidth="10" defaultRowHeight="14.4" x14ac:dyDescent="0.3"/>
  <cols>
    <col min="13" max="13" width="14.6640625" bestFit="1" customWidth="1"/>
    <col min="15" max="15" width="20" bestFit="1" customWidth="1"/>
    <col min="16" max="16" width="15.88671875" bestFit="1" customWidth="1"/>
    <col min="17" max="17" width="13.21875" bestFit="1" customWidth="1"/>
    <col min="18" max="18" width="12.6640625" bestFit="1" customWidth="1"/>
    <col min="23" max="23" width="37.109375" bestFit="1" customWidth="1"/>
    <col min="24" max="24" width="16.109375" bestFit="1" customWidth="1"/>
    <col min="25" max="25" width="29" bestFit="1" customWidth="1"/>
    <col min="26" max="26" width="17.77734375" bestFit="1" customWidth="1"/>
  </cols>
  <sheetData>
    <row r="1" spans="1:3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11" t="s">
        <v>18</v>
      </c>
      <c r="L1" s="2" t="s">
        <v>19</v>
      </c>
      <c r="M1" s="11" t="s">
        <v>20</v>
      </c>
      <c r="N1" s="11" t="s">
        <v>21</v>
      </c>
      <c r="O1" s="2" t="s">
        <v>46</v>
      </c>
      <c r="P1" s="2" t="s">
        <v>22</v>
      </c>
      <c r="Q1" s="2" t="s">
        <v>23</v>
      </c>
      <c r="R1" s="16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19" t="s">
        <v>37</v>
      </c>
      <c r="X1" s="20" t="s">
        <v>38</v>
      </c>
      <c r="Y1" s="21" t="s">
        <v>39</v>
      </c>
      <c r="Z1" s="20" t="s">
        <v>40</v>
      </c>
      <c r="AA1" s="2" t="s">
        <v>41</v>
      </c>
      <c r="AB1" s="2" t="s">
        <v>42</v>
      </c>
      <c r="AC1" s="2" t="s">
        <v>43</v>
      </c>
      <c r="AD1" s="2" t="s">
        <v>44</v>
      </c>
      <c r="AE1" s="2" t="s">
        <v>45</v>
      </c>
    </row>
    <row r="2" spans="1:31" hidden="1" x14ac:dyDescent="0.3">
      <c r="A2" s="5">
        <v>2026</v>
      </c>
      <c r="B2" s="6">
        <v>26</v>
      </c>
      <c r="C2" s="7" t="s">
        <v>10</v>
      </c>
      <c r="D2" s="7">
        <v>1</v>
      </c>
      <c r="E2" s="7">
        <v>1</v>
      </c>
      <c r="F2" s="8">
        <v>1</v>
      </c>
      <c r="G2" s="7" t="s">
        <v>11</v>
      </c>
      <c r="H2" s="7">
        <v>1</v>
      </c>
      <c r="I2" s="7">
        <v>0.09</v>
      </c>
      <c r="J2" s="7" t="s">
        <v>12</v>
      </c>
      <c r="K2" s="12">
        <v>46191</v>
      </c>
      <c r="L2" s="13">
        <v>46195</v>
      </c>
      <c r="M2" s="7">
        <v>4</v>
      </c>
      <c r="N2" s="7">
        <v>0.64</v>
      </c>
      <c r="O2" s="7">
        <v>0.64</v>
      </c>
      <c r="P2" s="7">
        <v>90</v>
      </c>
      <c r="Q2" s="7">
        <v>90</v>
      </c>
      <c r="R2" s="7">
        <v>90</v>
      </c>
      <c r="S2" s="17">
        <v>24300</v>
      </c>
      <c r="T2" s="7">
        <v>34</v>
      </c>
      <c r="U2" s="7">
        <v>381</v>
      </c>
      <c r="V2" s="7">
        <v>54</v>
      </c>
      <c r="W2" s="7" t="s">
        <v>29</v>
      </c>
      <c r="X2" s="7" t="s">
        <v>30</v>
      </c>
      <c r="Y2" s="7" t="s">
        <v>29</v>
      </c>
      <c r="Z2" s="7" t="s">
        <v>31</v>
      </c>
      <c r="AA2" s="7">
        <v>0.45</v>
      </c>
      <c r="AB2" s="22"/>
      <c r="AC2" s="22"/>
      <c r="AD2" s="7"/>
      <c r="AE2" s="7"/>
    </row>
    <row r="3" spans="1:31" hidden="1" x14ac:dyDescent="0.3">
      <c r="A3" s="5">
        <v>2026</v>
      </c>
      <c r="B3" s="6">
        <v>26</v>
      </c>
      <c r="C3" s="7" t="s">
        <v>13</v>
      </c>
      <c r="D3" s="7">
        <v>2</v>
      </c>
      <c r="E3" s="7">
        <v>1</v>
      </c>
      <c r="F3" s="8">
        <v>1</v>
      </c>
      <c r="G3" s="7" t="s">
        <v>11</v>
      </c>
      <c r="H3" s="7">
        <v>1</v>
      </c>
      <c r="I3" s="7">
        <v>0.09</v>
      </c>
      <c r="J3" s="7" t="s">
        <v>12</v>
      </c>
      <c r="K3" s="12">
        <v>46191</v>
      </c>
      <c r="L3" s="13">
        <v>46195</v>
      </c>
      <c r="M3" s="7">
        <v>4</v>
      </c>
      <c r="N3" s="7">
        <v>0.66</v>
      </c>
      <c r="O3" s="7">
        <v>0.46</v>
      </c>
      <c r="P3" s="7">
        <v>90</v>
      </c>
      <c r="Q3" s="7">
        <v>90</v>
      </c>
      <c r="R3" s="7">
        <v>90</v>
      </c>
      <c r="S3" s="17">
        <v>24300</v>
      </c>
      <c r="T3" s="7">
        <v>35</v>
      </c>
      <c r="U3" s="7">
        <v>393</v>
      </c>
      <c r="V3" s="7">
        <v>56</v>
      </c>
      <c r="W3" s="7" t="s">
        <v>29</v>
      </c>
      <c r="X3" s="7" t="s">
        <v>30</v>
      </c>
      <c r="Y3" s="7" t="s">
        <v>29</v>
      </c>
      <c r="Z3" s="7" t="s">
        <v>31</v>
      </c>
      <c r="AA3" s="7">
        <v>0.45</v>
      </c>
      <c r="AB3" s="22"/>
      <c r="AC3" s="22"/>
      <c r="AD3" s="7"/>
      <c r="AE3" s="7"/>
    </row>
    <row r="4" spans="1:31" hidden="1" x14ac:dyDescent="0.3">
      <c r="A4" s="5">
        <v>2026</v>
      </c>
      <c r="B4" s="6">
        <v>26</v>
      </c>
      <c r="C4" s="7" t="s">
        <v>14</v>
      </c>
      <c r="D4" s="7">
        <v>3</v>
      </c>
      <c r="E4" s="7">
        <v>1</v>
      </c>
      <c r="F4" s="8">
        <v>1</v>
      </c>
      <c r="G4" s="7" t="s">
        <v>11</v>
      </c>
      <c r="H4" s="7">
        <v>1</v>
      </c>
      <c r="I4" s="7">
        <v>0.09</v>
      </c>
      <c r="J4" s="7" t="s">
        <v>12</v>
      </c>
      <c r="K4" s="12">
        <v>46191</v>
      </c>
      <c r="L4" s="13">
        <v>46195</v>
      </c>
      <c r="M4" s="7">
        <v>4</v>
      </c>
      <c r="N4" s="7">
        <v>0.6</v>
      </c>
      <c r="O4" s="7">
        <v>0.64</v>
      </c>
      <c r="P4" s="7">
        <v>90</v>
      </c>
      <c r="Q4" s="7">
        <v>90</v>
      </c>
      <c r="R4" s="7">
        <v>90</v>
      </c>
      <c r="S4" s="17">
        <v>24300</v>
      </c>
      <c r="T4" s="7">
        <v>32</v>
      </c>
      <c r="U4" s="7">
        <v>357</v>
      </c>
      <c r="V4" s="7">
        <v>51</v>
      </c>
      <c r="W4" s="7" t="s">
        <v>29</v>
      </c>
      <c r="X4" s="7" t="s">
        <v>30</v>
      </c>
      <c r="Y4" s="7" t="s">
        <v>29</v>
      </c>
      <c r="Z4" s="7" t="s">
        <v>31</v>
      </c>
      <c r="AA4" s="7">
        <v>0.45</v>
      </c>
      <c r="AB4" s="7"/>
      <c r="AC4" s="7"/>
      <c r="AD4" s="7"/>
      <c r="AE4" s="7"/>
    </row>
    <row r="5" spans="1:31" hidden="1" x14ac:dyDescent="0.3">
      <c r="A5" s="5">
        <v>2026</v>
      </c>
      <c r="B5" s="6">
        <v>26</v>
      </c>
      <c r="C5" s="7" t="s">
        <v>15</v>
      </c>
      <c r="D5" s="7">
        <v>4</v>
      </c>
      <c r="E5" s="7">
        <v>1</v>
      </c>
      <c r="F5" s="8">
        <v>1</v>
      </c>
      <c r="G5" s="7" t="s">
        <v>11</v>
      </c>
      <c r="H5" s="7">
        <v>1</v>
      </c>
      <c r="I5" s="7">
        <v>0.09</v>
      </c>
      <c r="J5" s="7" t="s">
        <v>12</v>
      </c>
      <c r="K5" s="12">
        <v>46191</v>
      </c>
      <c r="L5" s="13">
        <v>46195</v>
      </c>
      <c r="M5" s="7">
        <v>4</v>
      </c>
      <c r="N5" s="7">
        <v>0.63</v>
      </c>
      <c r="O5" s="7">
        <v>0.64</v>
      </c>
      <c r="P5" s="7">
        <v>90</v>
      </c>
      <c r="Q5" s="7">
        <v>90</v>
      </c>
      <c r="R5" s="7">
        <v>90</v>
      </c>
      <c r="S5" s="17">
        <v>24300</v>
      </c>
      <c r="T5" s="7">
        <v>34</v>
      </c>
      <c r="U5" s="7">
        <v>375</v>
      </c>
      <c r="V5" s="7">
        <v>54</v>
      </c>
      <c r="W5" s="7" t="s">
        <v>29</v>
      </c>
      <c r="X5" s="7" t="s">
        <v>30</v>
      </c>
      <c r="Y5" s="7" t="s">
        <v>29</v>
      </c>
      <c r="Z5" s="7" t="s">
        <v>31</v>
      </c>
      <c r="AA5" s="7">
        <v>0.45</v>
      </c>
      <c r="AB5" s="7"/>
      <c r="AC5" s="7"/>
      <c r="AD5" s="7"/>
      <c r="AE5" s="7"/>
    </row>
    <row r="6" spans="1:31" hidden="1" x14ac:dyDescent="0.3">
      <c r="A6" s="5">
        <v>2026</v>
      </c>
      <c r="B6" s="6">
        <v>26</v>
      </c>
      <c r="C6" s="7" t="s">
        <v>16</v>
      </c>
      <c r="D6" s="7">
        <v>5</v>
      </c>
      <c r="E6" s="7">
        <v>1</v>
      </c>
      <c r="F6" s="8">
        <v>1</v>
      </c>
      <c r="G6" s="7" t="s">
        <v>11</v>
      </c>
      <c r="H6" s="7">
        <v>1</v>
      </c>
      <c r="I6" s="7">
        <v>0.09</v>
      </c>
      <c r="J6" s="7" t="s">
        <v>12</v>
      </c>
      <c r="K6" s="12">
        <v>46191</v>
      </c>
      <c r="L6" s="13">
        <v>46195</v>
      </c>
      <c r="M6" s="7">
        <v>4</v>
      </c>
      <c r="N6" s="7">
        <v>0.65</v>
      </c>
      <c r="O6" s="7">
        <v>0.64</v>
      </c>
      <c r="P6" s="7">
        <v>90</v>
      </c>
      <c r="Q6" s="7">
        <v>90</v>
      </c>
      <c r="R6" s="7">
        <v>90</v>
      </c>
      <c r="S6" s="17">
        <v>24300</v>
      </c>
      <c r="T6" s="7">
        <v>35</v>
      </c>
      <c r="U6" s="7">
        <v>387</v>
      </c>
      <c r="V6" s="7">
        <v>55</v>
      </c>
      <c r="W6" s="7" t="s">
        <v>29</v>
      </c>
      <c r="X6" s="7" t="s">
        <v>30</v>
      </c>
      <c r="Y6" s="7" t="s">
        <v>29</v>
      </c>
      <c r="Z6" s="7" t="s">
        <v>31</v>
      </c>
      <c r="AA6" s="7">
        <v>0.45</v>
      </c>
      <c r="AB6" s="7"/>
      <c r="AC6" s="7"/>
      <c r="AD6" s="7"/>
      <c r="AE6" s="7"/>
    </row>
    <row r="7" spans="1:31" hidden="1" x14ac:dyDescent="0.3">
      <c r="A7" s="5">
        <v>2026</v>
      </c>
      <c r="B7" s="6">
        <v>26</v>
      </c>
      <c r="C7" s="7" t="s">
        <v>17</v>
      </c>
      <c r="D7" s="7">
        <v>6</v>
      </c>
      <c r="E7" s="7">
        <v>1</v>
      </c>
      <c r="F7" s="8">
        <v>1</v>
      </c>
      <c r="G7" s="7" t="s">
        <v>11</v>
      </c>
      <c r="H7" s="7">
        <v>1</v>
      </c>
      <c r="I7" s="7">
        <v>0.09</v>
      </c>
      <c r="J7" s="7" t="s">
        <v>12</v>
      </c>
      <c r="K7" s="12">
        <v>46191</v>
      </c>
      <c r="L7" s="13">
        <v>46195</v>
      </c>
      <c r="M7" s="7">
        <v>4</v>
      </c>
      <c r="N7" s="7">
        <v>0.68</v>
      </c>
      <c r="O7" s="7">
        <v>0.64</v>
      </c>
      <c r="P7" s="7">
        <v>90</v>
      </c>
      <c r="Q7" s="7">
        <v>90</v>
      </c>
      <c r="R7" s="7">
        <v>90</v>
      </c>
      <c r="S7" s="17">
        <v>24300</v>
      </c>
      <c r="T7" s="7">
        <v>36</v>
      </c>
      <c r="U7" s="7">
        <v>404</v>
      </c>
      <c r="V7" s="7">
        <v>58</v>
      </c>
      <c r="W7" s="7" t="s">
        <v>29</v>
      </c>
      <c r="X7" s="7" t="s">
        <v>30</v>
      </c>
      <c r="Y7" s="7" t="s">
        <v>29</v>
      </c>
      <c r="Z7" s="7" t="s">
        <v>31</v>
      </c>
      <c r="AA7" s="7">
        <v>0.45</v>
      </c>
      <c r="AB7" s="7"/>
      <c r="AC7" s="7"/>
      <c r="AD7" s="7"/>
      <c r="AE7" s="7"/>
    </row>
    <row r="8" spans="1:31" hidden="1" x14ac:dyDescent="0.3">
      <c r="A8" s="5">
        <v>2026</v>
      </c>
      <c r="B8" s="6">
        <v>27</v>
      </c>
      <c r="C8" s="7" t="s">
        <v>10</v>
      </c>
      <c r="D8" s="7">
        <v>1</v>
      </c>
      <c r="E8" s="7">
        <v>1</v>
      </c>
      <c r="F8" s="7">
        <v>1</v>
      </c>
      <c r="G8" s="7" t="s">
        <v>11</v>
      </c>
      <c r="H8" s="7">
        <v>1</v>
      </c>
      <c r="I8" s="7">
        <v>0.09</v>
      </c>
      <c r="J8" s="7" t="s">
        <v>12</v>
      </c>
      <c r="K8" s="12">
        <v>46191</v>
      </c>
      <c r="L8" s="13">
        <v>46202</v>
      </c>
      <c r="M8" s="7">
        <v>11</v>
      </c>
      <c r="N8" s="7">
        <v>1.5</v>
      </c>
      <c r="O8" s="7">
        <v>0.86</v>
      </c>
      <c r="P8" s="7">
        <v>90</v>
      </c>
      <c r="Q8" s="7">
        <v>90</v>
      </c>
      <c r="R8" s="7">
        <v>90</v>
      </c>
      <c r="S8" s="17">
        <v>24300</v>
      </c>
      <c r="T8" s="7">
        <v>80</v>
      </c>
      <c r="U8" s="7">
        <v>892</v>
      </c>
      <c r="V8" s="7">
        <v>127</v>
      </c>
      <c r="W8" s="7" t="s">
        <v>32</v>
      </c>
      <c r="X8" s="7" t="s">
        <v>30</v>
      </c>
      <c r="Y8" s="7" t="s">
        <v>29</v>
      </c>
      <c r="Z8" s="7" t="s">
        <v>31</v>
      </c>
      <c r="AA8" s="7">
        <v>0.46</v>
      </c>
      <c r="AB8" s="7"/>
      <c r="AC8" s="7"/>
      <c r="AD8" s="7"/>
      <c r="AE8" s="7"/>
    </row>
    <row r="9" spans="1:31" hidden="1" x14ac:dyDescent="0.3">
      <c r="A9" s="5">
        <v>2026</v>
      </c>
      <c r="B9" s="6">
        <v>27</v>
      </c>
      <c r="C9" s="7" t="s">
        <v>13</v>
      </c>
      <c r="D9" s="7">
        <v>2</v>
      </c>
      <c r="E9" s="7">
        <v>1</v>
      </c>
      <c r="F9" s="7">
        <v>1</v>
      </c>
      <c r="G9" s="7" t="s">
        <v>11</v>
      </c>
      <c r="H9" s="7">
        <v>1</v>
      </c>
      <c r="I9" s="7">
        <v>0.09</v>
      </c>
      <c r="J9" s="7" t="s">
        <v>12</v>
      </c>
      <c r="K9" s="12">
        <v>46191</v>
      </c>
      <c r="L9" s="13">
        <v>46202</v>
      </c>
      <c r="M9" s="7">
        <v>11</v>
      </c>
      <c r="N9" s="7">
        <v>1.54</v>
      </c>
      <c r="O9" s="7">
        <v>0.88</v>
      </c>
      <c r="P9" s="7">
        <v>90</v>
      </c>
      <c r="Q9" s="7">
        <v>90</v>
      </c>
      <c r="R9" s="7">
        <v>90</v>
      </c>
      <c r="S9" s="17">
        <v>24500</v>
      </c>
      <c r="T9" s="7">
        <v>83</v>
      </c>
      <c r="U9" s="7">
        <v>923</v>
      </c>
      <c r="V9" s="7">
        <v>132</v>
      </c>
      <c r="W9" s="7" t="s">
        <v>32</v>
      </c>
      <c r="X9" s="7" t="s">
        <v>30</v>
      </c>
      <c r="Y9" s="7" t="s">
        <v>29</v>
      </c>
      <c r="Z9" s="7" t="s">
        <v>31</v>
      </c>
      <c r="AA9" s="7">
        <v>0.46</v>
      </c>
      <c r="AB9" s="7"/>
      <c r="AC9" s="7"/>
      <c r="AD9" s="7"/>
      <c r="AE9" s="7"/>
    </row>
    <row r="10" spans="1:31" hidden="1" x14ac:dyDescent="0.3">
      <c r="A10" s="5">
        <v>2026</v>
      </c>
      <c r="B10" s="6">
        <v>27</v>
      </c>
      <c r="C10" s="7" t="s">
        <v>14</v>
      </c>
      <c r="D10" s="7">
        <v>3</v>
      </c>
      <c r="E10" s="7">
        <v>1</v>
      </c>
      <c r="F10" s="7">
        <v>1</v>
      </c>
      <c r="G10" s="7" t="s">
        <v>11</v>
      </c>
      <c r="H10" s="7">
        <v>1</v>
      </c>
      <c r="I10" s="7">
        <v>0.09</v>
      </c>
      <c r="J10" s="7" t="s">
        <v>12</v>
      </c>
      <c r="K10" s="12">
        <v>46191</v>
      </c>
      <c r="L10" s="13">
        <v>46202</v>
      </c>
      <c r="M10" s="7">
        <v>11</v>
      </c>
      <c r="N10" s="7">
        <v>1.56</v>
      </c>
      <c r="O10" s="7">
        <v>0.86</v>
      </c>
      <c r="P10" s="7">
        <v>90</v>
      </c>
      <c r="Q10" s="7">
        <v>90</v>
      </c>
      <c r="R10" s="7">
        <v>90</v>
      </c>
      <c r="S10" s="17">
        <v>24500</v>
      </c>
      <c r="T10" s="7">
        <v>84</v>
      </c>
      <c r="U10" s="7">
        <v>935</v>
      </c>
      <c r="V10" s="7">
        <v>134</v>
      </c>
      <c r="W10" s="7" t="s">
        <v>32</v>
      </c>
      <c r="X10" s="7" t="s">
        <v>30</v>
      </c>
      <c r="Y10" s="7" t="s">
        <v>29</v>
      </c>
      <c r="Z10" s="7" t="s">
        <v>31</v>
      </c>
      <c r="AA10" s="7">
        <v>0.46</v>
      </c>
      <c r="AB10" s="7"/>
      <c r="AC10" s="7"/>
      <c r="AD10" s="7"/>
      <c r="AE10" s="7"/>
    </row>
    <row r="11" spans="1:31" hidden="1" x14ac:dyDescent="0.3">
      <c r="A11" s="5">
        <v>2026</v>
      </c>
      <c r="B11" s="6">
        <v>27</v>
      </c>
      <c r="C11" s="7" t="s">
        <v>15</v>
      </c>
      <c r="D11" s="7">
        <v>4</v>
      </c>
      <c r="E11" s="7">
        <v>1</v>
      </c>
      <c r="F11" s="7">
        <v>1</v>
      </c>
      <c r="G11" s="7" t="s">
        <v>11</v>
      </c>
      <c r="H11" s="7">
        <v>1</v>
      </c>
      <c r="I11" s="7">
        <v>0.09</v>
      </c>
      <c r="J11" s="7" t="s">
        <v>12</v>
      </c>
      <c r="K11" s="12">
        <v>46191</v>
      </c>
      <c r="L11" s="13">
        <v>46202</v>
      </c>
      <c r="M11" s="7">
        <v>11</v>
      </c>
      <c r="N11" s="7">
        <v>1.5</v>
      </c>
      <c r="O11" s="7">
        <v>0.86</v>
      </c>
      <c r="P11" s="7">
        <v>90</v>
      </c>
      <c r="Q11" s="7">
        <v>90</v>
      </c>
      <c r="R11" s="7">
        <v>90</v>
      </c>
      <c r="S11" s="17">
        <v>24500</v>
      </c>
      <c r="T11" s="7">
        <v>81</v>
      </c>
      <c r="U11" s="7">
        <v>899</v>
      </c>
      <c r="V11" s="7">
        <v>128</v>
      </c>
      <c r="W11" s="7" t="s">
        <v>32</v>
      </c>
      <c r="X11" s="7" t="s">
        <v>30</v>
      </c>
      <c r="Y11" s="7" t="s">
        <v>29</v>
      </c>
      <c r="Z11" s="7" t="s">
        <v>31</v>
      </c>
      <c r="AA11" s="7">
        <v>0.46</v>
      </c>
      <c r="AB11" s="7"/>
      <c r="AC11" s="7"/>
      <c r="AD11" s="7"/>
      <c r="AE11" s="7"/>
    </row>
    <row r="12" spans="1:31" hidden="1" x14ac:dyDescent="0.3">
      <c r="A12" s="5">
        <v>2026</v>
      </c>
      <c r="B12" s="6">
        <v>27</v>
      </c>
      <c r="C12" s="7" t="s">
        <v>16</v>
      </c>
      <c r="D12" s="7">
        <v>5</v>
      </c>
      <c r="E12" s="7">
        <v>1</v>
      </c>
      <c r="F12" s="7">
        <v>1</v>
      </c>
      <c r="G12" s="7" t="s">
        <v>11</v>
      </c>
      <c r="H12" s="7">
        <v>1</v>
      </c>
      <c r="I12" s="7">
        <v>0.09</v>
      </c>
      <c r="J12" s="7" t="s">
        <v>12</v>
      </c>
      <c r="K12" s="12">
        <v>46191</v>
      </c>
      <c r="L12" s="13">
        <v>46202</v>
      </c>
      <c r="M12" s="7">
        <v>11</v>
      </c>
      <c r="N12" s="7">
        <v>1.63</v>
      </c>
      <c r="O12" s="7">
        <v>0.86</v>
      </c>
      <c r="P12" s="7">
        <v>90</v>
      </c>
      <c r="Q12" s="7">
        <v>90</v>
      </c>
      <c r="R12" s="7">
        <v>90</v>
      </c>
      <c r="S12" s="17">
        <v>24500</v>
      </c>
      <c r="T12" s="7">
        <v>88</v>
      </c>
      <c r="U12" s="7">
        <v>977</v>
      </c>
      <c r="V12" s="7">
        <v>140</v>
      </c>
      <c r="W12" s="7" t="s">
        <v>32</v>
      </c>
      <c r="X12" s="7" t="s">
        <v>30</v>
      </c>
      <c r="Y12" s="7" t="s">
        <v>29</v>
      </c>
      <c r="Z12" s="7" t="s">
        <v>31</v>
      </c>
      <c r="AA12" s="7">
        <v>0.46</v>
      </c>
      <c r="AB12" s="7"/>
      <c r="AC12" s="7"/>
      <c r="AD12" s="7"/>
      <c r="AE12" s="7"/>
    </row>
    <row r="13" spans="1:31" hidden="1" x14ac:dyDescent="0.3">
      <c r="A13" s="5">
        <v>2026</v>
      </c>
      <c r="B13" s="6">
        <v>27</v>
      </c>
      <c r="C13" s="7" t="s">
        <v>17</v>
      </c>
      <c r="D13" s="7">
        <v>6</v>
      </c>
      <c r="E13" s="7">
        <v>1</v>
      </c>
      <c r="F13" s="7">
        <v>1</v>
      </c>
      <c r="G13" s="7" t="s">
        <v>11</v>
      </c>
      <c r="H13" s="7">
        <v>1</v>
      </c>
      <c r="I13" s="7">
        <v>0.09</v>
      </c>
      <c r="J13" s="7" t="s">
        <v>12</v>
      </c>
      <c r="K13" s="12">
        <v>46191</v>
      </c>
      <c r="L13" s="13">
        <v>46202</v>
      </c>
      <c r="M13" s="7">
        <v>11</v>
      </c>
      <c r="N13" s="7">
        <v>1.7</v>
      </c>
      <c r="O13" s="7">
        <v>0.86</v>
      </c>
      <c r="P13" s="7">
        <v>90</v>
      </c>
      <c r="Q13" s="7">
        <v>90</v>
      </c>
      <c r="R13" s="7">
        <v>90</v>
      </c>
      <c r="S13" s="17">
        <v>24500</v>
      </c>
      <c r="T13" s="7">
        <v>92</v>
      </c>
      <c r="U13" s="17">
        <v>1019</v>
      </c>
      <c r="V13" s="7">
        <v>146</v>
      </c>
      <c r="W13" s="7" t="s">
        <v>32</v>
      </c>
      <c r="X13" s="7" t="s">
        <v>30</v>
      </c>
      <c r="Y13" s="7" t="s">
        <v>29</v>
      </c>
      <c r="Z13" s="7" t="s">
        <v>31</v>
      </c>
      <c r="AA13" s="7">
        <v>0.46</v>
      </c>
      <c r="AB13" s="7"/>
      <c r="AC13" s="7"/>
      <c r="AD13" s="7"/>
      <c r="AE13" s="7"/>
    </row>
    <row r="14" spans="1:31" hidden="1" x14ac:dyDescent="0.3">
      <c r="A14" s="5">
        <v>2026</v>
      </c>
      <c r="B14" s="6">
        <v>28</v>
      </c>
      <c r="C14" s="7" t="s">
        <v>10</v>
      </c>
      <c r="D14" s="7">
        <v>1</v>
      </c>
      <c r="E14" s="7">
        <v>1</v>
      </c>
      <c r="F14" s="7">
        <v>1</v>
      </c>
      <c r="G14" s="7" t="s">
        <v>11</v>
      </c>
      <c r="H14" s="7">
        <v>1</v>
      </c>
      <c r="I14" s="7">
        <v>0.09</v>
      </c>
      <c r="J14" s="7" t="s">
        <v>12</v>
      </c>
      <c r="K14" s="12">
        <v>46191</v>
      </c>
      <c r="L14" s="13">
        <v>46209</v>
      </c>
      <c r="M14" s="7">
        <v>18</v>
      </c>
      <c r="N14" s="7">
        <v>2.75</v>
      </c>
      <c r="O14" s="7">
        <v>1.25</v>
      </c>
      <c r="P14" s="7">
        <v>90</v>
      </c>
      <c r="Q14" s="7">
        <v>90</v>
      </c>
      <c r="R14" s="7">
        <v>90</v>
      </c>
      <c r="S14" s="17">
        <v>24300</v>
      </c>
      <c r="T14" s="7">
        <v>147</v>
      </c>
      <c r="U14" s="17">
        <v>1635</v>
      </c>
      <c r="V14" s="7">
        <v>234</v>
      </c>
      <c r="W14" s="7" t="s">
        <v>33</v>
      </c>
      <c r="X14" s="7" t="s">
        <v>30</v>
      </c>
      <c r="Y14" s="7" t="s">
        <v>33</v>
      </c>
      <c r="Z14" s="7" t="s">
        <v>31</v>
      </c>
      <c r="AA14" s="7">
        <v>0.66</v>
      </c>
      <c r="AB14" s="7"/>
      <c r="AC14" s="7"/>
      <c r="AD14" s="7"/>
      <c r="AE14" s="7"/>
    </row>
    <row r="15" spans="1:31" hidden="1" x14ac:dyDescent="0.3">
      <c r="A15" s="5">
        <v>2026</v>
      </c>
      <c r="B15" s="6">
        <v>28</v>
      </c>
      <c r="C15" s="7" t="s">
        <v>13</v>
      </c>
      <c r="D15" s="7">
        <v>2</v>
      </c>
      <c r="E15" s="7">
        <v>1</v>
      </c>
      <c r="F15" s="7">
        <v>1</v>
      </c>
      <c r="G15" s="7" t="s">
        <v>11</v>
      </c>
      <c r="H15" s="7">
        <v>1</v>
      </c>
      <c r="I15" s="7">
        <v>0.09</v>
      </c>
      <c r="J15" s="7" t="s">
        <v>12</v>
      </c>
      <c r="K15" s="12">
        <v>46191</v>
      </c>
      <c r="L15" s="13">
        <v>46209</v>
      </c>
      <c r="M15" s="7">
        <v>18</v>
      </c>
      <c r="N15" s="7">
        <v>2.82</v>
      </c>
      <c r="O15" s="7">
        <v>1.32</v>
      </c>
      <c r="P15" s="7">
        <v>90</v>
      </c>
      <c r="Q15" s="7">
        <v>90</v>
      </c>
      <c r="R15" s="7">
        <v>90</v>
      </c>
      <c r="S15" s="17">
        <v>24500</v>
      </c>
      <c r="T15" s="7">
        <v>152</v>
      </c>
      <c r="U15" s="17">
        <v>1691</v>
      </c>
      <c r="V15" s="7">
        <v>242</v>
      </c>
      <c r="W15" s="7" t="s">
        <v>33</v>
      </c>
      <c r="X15" s="7" t="s">
        <v>30</v>
      </c>
      <c r="Y15" s="7" t="s">
        <v>33</v>
      </c>
      <c r="Z15" s="7" t="s">
        <v>31</v>
      </c>
      <c r="AA15" s="7">
        <v>0.64</v>
      </c>
      <c r="AB15" s="7"/>
      <c r="AC15" s="7"/>
      <c r="AD15" s="7"/>
      <c r="AE15" s="7"/>
    </row>
    <row r="16" spans="1:31" hidden="1" x14ac:dyDescent="0.3">
      <c r="A16" s="5">
        <v>2026</v>
      </c>
      <c r="B16" s="6">
        <v>28</v>
      </c>
      <c r="C16" s="7" t="s">
        <v>14</v>
      </c>
      <c r="D16" s="7">
        <v>3</v>
      </c>
      <c r="E16" s="7">
        <v>1</v>
      </c>
      <c r="F16" s="7">
        <v>1</v>
      </c>
      <c r="G16" s="7" t="s">
        <v>11</v>
      </c>
      <c r="H16" s="7">
        <v>1</v>
      </c>
      <c r="I16" s="7">
        <v>0.09</v>
      </c>
      <c r="J16" s="7" t="s">
        <v>12</v>
      </c>
      <c r="K16" s="12">
        <v>46191</v>
      </c>
      <c r="L16" s="13">
        <v>46209</v>
      </c>
      <c r="M16" s="7">
        <v>18</v>
      </c>
      <c r="N16" s="7">
        <v>2.96</v>
      </c>
      <c r="O16" s="7">
        <v>1.46</v>
      </c>
      <c r="P16" s="7">
        <v>90</v>
      </c>
      <c r="Q16" s="7">
        <v>90</v>
      </c>
      <c r="R16" s="7">
        <v>90</v>
      </c>
      <c r="S16" s="17">
        <v>24500</v>
      </c>
      <c r="T16" s="7">
        <v>160</v>
      </c>
      <c r="U16" s="17">
        <v>1775</v>
      </c>
      <c r="V16" s="7">
        <v>254</v>
      </c>
      <c r="W16" s="7" t="s">
        <v>33</v>
      </c>
      <c r="X16" s="7" t="s">
        <v>30</v>
      </c>
      <c r="Y16" s="7" t="s">
        <v>33</v>
      </c>
      <c r="Z16" s="7" t="s">
        <v>31</v>
      </c>
      <c r="AA16" s="7">
        <v>0.61</v>
      </c>
      <c r="AB16" s="7"/>
      <c r="AC16" s="7"/>
      <c r="AD16" s="7"/>
      <c r="AE16" s="7"/>
    </row>
    <row r="17" spans="1:31" hidden="1" x14ac:dyDescent="0.3">
      <c r="A17" s="5">
        <v>2026</v>
      </c>
      <c r="B17" s="6">
        <v>28</v>
      </c>
      <c r="C17" s="7" t="s">
        <v>15</v>
      </c>
      <c r="D17" s="7">
        <v>4</v>
      </c>
      <c r="E17" s="7">
        <v>1</v>
      </c>
      <c r="F17" s="7">
        <v>1</v>
      </c>
      <c r="G17" s="7" t="s">
        <v>11</v>
      </c>
      <c r="H17" s="7">
        <v>1</v>
      </c>
      <c r="I17" s="7">
        <v>0.09</v>
      </c>
      <c r="J17" s="7" t="s">
        <v>12</v>
      </c>
      <c r="K17" s="12">
        <v>46191</v>
      </c>
      <c r="L17" s="13">
        <v>46209</v>
      </c>
      <c r="M17" s="7">
        <v>18</v>
      </c>
      <c r="N17" s="7">
        <v>3.05</v>
      </c>
      <c r="O17" s="7">
        <v>1.55</v>
      </c>
      <c r="P17" s="7">
        <v>90</v>
      </c>
      <c r="Q17" s="7">
        <v>90</v>
      </c>
      <c r="R17" s="7">
        <v>90</v>
      </c>
      <c r="S17" s="17">
        <v>24500</v>
      </c>
      <c r="T17" s="7">
        <v>165</v>
      </c>
      <c r="U17" s="17">
        <v>1829</v>
      </c>
      <c r="V17" s="7">
        <v>261</v>
      </c>
      <c r="W17" s="7" t="s">
        <v>33</v>
      </c>
      <c r="X17" s="7" t="s">
        <v>30</v>
      </c>
      <c r="Y17" s="7" t="s">
        <v>33</v>
      </c>
      <c r="Z17" s="7" t="s">
        <v>31</v>
      </c>
      <c r="AA17" s="7">
        <v>0.59</v>
      </c>
      <c r="AB17" s="7"/>
      <c r="AC17" s="7"/>
      <c r="AD17" s="7"/>
      <c r="AE17" s="7"/>
    </row>
    <row r="18" spans="1:31" hidden="1" x14ac:dyDescent="0.3">
      <c r="A18" s="5">
        <v>2026</v>
      </c>
      <c r="B18" s="6">
        <v>28</v>
      </c>
      <c r="C18" s="7" t="s">
        <v>16</v>
      </c>
      <c r="D18" s="7">
        <v>5</v>
      </c>
      <c r="E18" s="7">
        <v>1</v>
      </c>
      <c r="F18" s="7">
        <v>1</v>
      </c>
      <c r="G18" s="7" t="s">
        <v>11</v>
      </c>
      <c r="H18" s="7">
        <v>1</v>
      </c>
      <c r="I18" s="7">
        <v>0.09</v>
      </c>
      <c r="J18" s="7" t="s">
        <v>12</v>
      </c>
      <c r="K18" s="12">
        <v>46191</v>
      </c>
      <c r="L18" s="13">
        <v>46209</v>
      </c>
      <c r="M18" s="7">
        <v>18</v>
      </c>
      <c r="N18" s="7">
        <v>3.14</v>
      </c>
      <c r="O18" s="7">
        <v>1.64</v>
      </c>
      <c r="P18" s="7">
        <v>90</v>
      </c>
      <c r="Q18" s="7">
        <v>90</v>
      </c>
      <c r="R18" s="7">
        <v>90</v>
      </c>
      <c r="S18" s="17">
        <v>24500</v>
      </c>
      <c r="T18" s="7">
        <v>169</v>
      </c>
      <c r="U18" s="17">
        <v>1883</v>
      </c>
      <c r="V18" s="7">
        <v>269</v>
      </c>
      <c r="W18" s="7" t="s">
        <v>33</v>
      </c>
      <c r="X18" s="7" t="s">
        <v>30</v>
      </c>
      <c r="Y18" s="7" t="s">
        <v>33</v>
      </c>
      <c r="Z18" s="7" t="s">
        <v>31</v>
      </c>
      <c r="AA18" s="7">
        <v>0.56999999999999995</v>
      </c>
      <c r="AB18" s="7"/>
      <c r="AC18" s="7"/>
      <c r="AD18" s="7"/>
      <c r="AE18" s="7"/>
    </row>
    <row r="19" spans="1:31" hidden="1" x14ac:dyDescent="0.3">
      <c r="A19" s="5">
        <v>2026</v>
      </c>
      <c r="B19" s="6">
        <v>28</v>
      </c>
      <c r="C19" s="7" t="s">
        <v>17</v>
      </c>
      <c r="D19" s="7">
        <v>6</v>
      </c>
      <c r="E19" s="7">
        <v>1</v>
      </c>
      <c r="F19" s="7">
        <v>1</v>
      </c>
      <c r="G19" s="7" t="s">
        <v>11</v>
      </c>
      <c r="H19" s="7">
        <v>1</v>
      </c>
      <c r="I19" s="7">
        <v>0.09</v>
      </c>
      <c r="J19" s="7" t="s">
        <v>12</v>
      </c>
      <c r="K19" s="12">
        <v>46191</v>
      </c>
      <c r="L19" s="13">
        <v>46209</v>
      </c>
      <c r="M19" s="7">
        <v>18</v>
      </c>
      <c r="N19" s="7">
        <v>3.46</v>
      </c>
      <c r="O19" s="7">
        <v>1.96</v>
      </c>
      <c r="P19" s="7">
        <v>90</v>
      </c>
      <c r="Q19" s="7">
        <v>90</v>
      </c>
      <c r="R19" s="7">
        <v>90</v>
      </c>
      <c r="S19" s="17">
        <v>24500</v>
      </c>
      <c r="T19" s="7">
        <v>187</v>
      </c>
      <c r="U19" s="17">
        <v>2075</v>
      </c>
      <c r="V19" s="7">
        <v>296</v>
      </c>
      <c r="W19" s="7" t="s">
        <v>33</v>
      </c>
      <c r="X19" s="7" t="s">
        <v>30</v>
      </c>
      <c r="Y19" s="7" t="s">
        <v>33</v>
      </c>
      <c r="Z19" s="7" t="s">
        <v>31</v>
      </c>
      <c r="AA19" s="7">
        <v>0.52</v>
      </c>
      <c r="AB19" s="7"/>
      <c r="AC19" s="7"/>
      <c r="AD19" s="7"/>
      <c r="AE19" s="7"/>
    </row>
    <row r="20" spans="1:31" hidden="1" x14ac:dyDescent="0.3">
      <c r="A20" s="5">
        <v>2026</v>
      </c>
      <c r="B20" s="6">
        <v>29</v>
      </c>
      <c r="C20" s="7" t="s">
        <v>10</v>
      </c>
      <c r="D20" s="7">
        <v>1</v>
      </c>
      <c r="E20" s="7">
        <v>1</v>
      </c>
      <c r="F20" s="7">
        <v>1</v>
      </c>
      <c r="G20" s="7" t="s">
        <v>11</v>
      </c>
      <c r="H20" s="7">
        <v>1</v>
      </c>
      <c r="I20" s="7">
        <v>0.09</v>
      </c>
      <c r="J20" s="7" t="s">
        <v>12</v>
      </c>
      <c r="K20" s="12">
        <v>46191</v>
      </c>
      <c r="L20" s="13">
        <v>46216</v>
      </c>
      <c r="M20" s="7">
        <v>25</v>
      </c>
      <c r="N20" s="7">
        <v>4.8499999999999996</v>
      </c>
      <c r="O20" s="7">
        <v>2.1</v>
      </c>
      <c r="P20" s="7">
        <v>85</v>
      </c>
      <c r="Q20" s="7">
        <v>85</v>
      </c>
      <c r="R20" s="7">
        <v>85</v>
      </c>
      <c r="S20" s="17">
        <v>23139</v>
      </c>
      <c r="T20" s="7">
        <v>247</v>
      </c>
      <c r="U20" s="17">
        <v>2747</v>
      </c>
      <c r="V20" s="7">
        <v>392</v>
      </c>
      <c r="W20" s="7" t="s">
        <v>33</v>
      </c>
      <c r="X20" s="7" t="s">
        <v>30</v>
      </c>
      <c r="Y20" s="7" t="s">
        <v>33</v>
      </c>
      <c r="Z20" s="7" t="s">
        <v>31</v>
      </c>
      <c r="AA20" s="7">
        <v>0.76</v>
      </c>
      <c r="AB20" s="7"/>
      <c r="AC20" s="7"/>
      <c r="AD20" s="7"/>
      <c r="AE20" s="7"/>
    </row>
    <row r="21" spans="1:31" hidden="1" x14ac:dyDescent="0.3">
      <c r="A21" s="5">
        <v>2026</v>
      </c>
      <c r="B21" s="6">
        <v>29</v>
      </c>
      <c r="C21" s="7" t="s">
        <v>13</v>
      </c>
      <c r="D21" s="7">
        <v>2</v>
      </c>
      <c r="E21" s="7">
        <v>1</v>
      </c>
      <c r="F21" s="7">
        <v>1</v>
      </c>
      <c r="G21" s="7" t="s">
        <v>11</v>
      </c>
      <c r="H21" s="7">
        <v>1</v>
      </c>
      <c r="I21" s="7">
        <v>0.09</v>
      </c>
      <c r="J21" s="7" t="s">
        <v>12</v>
      </c>
      <c r="K21" s="12">
        <v>46191</v>
      </c>
      <c r="L21" s="13">
        <v>46216</v>
      </c>
      <c r="M21" s="7">
        <v>25</v>
      </c>
      <c r="N21" s="7">
        <v>4.84</v>
      </c>
      <c r="O21" s="7">
        <v>2.02</v>
      </c>
      <c r="P21" s="7">
        <v>85</v>
      </c>
      <c r="Q21" s="7">
        <v>85</v>
      </c>
      <c r="R21" s="7">
        <v>85</v>
      </c>
      <c r="S21" s="17">
        <v>23100</v>
      </c>
      <c r="T21" s="7">
        <v>246</v>
      </c>
      <c r="U21" s="17">
        <v>2736</v>
      </c>
      <c r="V21" s="7">
        <v>391</v>
      </c>
      <c r="W21" s="7" t="s">
        <v>33</v>
      </c>
      <c r="X21" s="7" t="s">
        <v>30</v>
      </c>
      <c r="Y21" s="7" t="s">
        <v>33</v>
      </c>
      <c r="Z21" s="7" t="s">
        <v>31</v>
      </c>
      <c r="AA21" s="7">
        <v>0.74</v>
      </c>
      <c r="AB21" s="7"/>
      <c r="AC21" s="7"/>
      <c r="AD21" s="7"/>
      <c r="AE21" s="7"/>
    </row>
    <row r="22" spans="1:31" hidden="1" x14ac:dyDescent="0.3">
      <c r="A22" s="5">
        <v>2026</v>
      </c>
      <c r="B22" s="6">
        <v>29</v>
      </c>
      <c r="C22" s="7" t="s">
        <v>14</v>
      </c>
      <c r="D22" s="7">
        <v>3</v>
      </c>
      <c r="E22" s="7">
        <v>1</v>
      </c>
      <c r="F22" s="7">
        <v>1</v>
      </c>
      <c r="G22" s="7" t="s">
        <v>11</v>
      </c>
      <c r="H22" s="7">
        <v>1</v>
      </c>
      <c r="I22" s="7">
        <v>0.09</v>
      </c>
      <c r="J22" s="7" t="s">
        <v>12</v>
      </c>
      <c r="K22" s="12">
        <v>46191</v>
      </c>
      <c r="L22" s="13">
        <v>46216</v>
      </c>
      <c r="M22" s="7">
        <v>25</v>
      </c>
      <c r="N22" s="7">
        <v>5.29</v>
      </c>
      <c r="O22" s="7">
        <v>2.33</v>
      </c>
      <c r="P22" s="7">
        <v>85</v>
      </c>
      <c r="Q22" s="7">
        <v>85</v>
      </c>
      <c r="R22" s="7">
        <v>85</v>
      </c>
      <c r="S22" s="17">
        <v>24500</v>
      </c>
      <c r="T22" s="7">
        <v>285</v>
      </c>
      <c r="U22" s="17">
        <v>3172</v>
      </c>
      <c r="V22" s="7">
        <v>453</v>
      </c>
      <c r="W22" s="7" t="s">
        <v>33</v>
      </c>
      <c r="X22" s="7" t="s">
        <v>30</v>
      </c>
      <c r="Y22" s="7" t="s">
        <v>33</v>
      </c>
      <c r="Z22" s="7" t="s">
        <v>31</v>
      </c>
      <c r="AA22" s="7">
        <v>0.67</v>
      </c>
      <c r="AB22" s="7"/>
      <c r="AC22" s="7"/>
      <c r="AD22" s="7"/>
      <c r="AE22" s="7"/>
    </row>
    <row r="23" spans="1:31" hidden="1" x14ac:dyDescent="0.3">
      <c r="A23" s="5">
        <v>2026</v>
      </c>
      <c r="B23" s="6">
        <v>29</v>
      </c>
      <c r="C23" s="7" t="s">
        <v>15</v>
      </c>
      <c r="D23" s="7">
        <v>4</v>
      </c>
      <c r="E23" s="7">
        <v>1</v>
      </c>
      <c r="F23" s="7">
        <v>1</v>
      </c>
      <c r="G23" s="7" t="s">
        <v>11</v>
      </c>
      <c r="H23" s="7">
        <v>1</v>
      </c>
      <c r="I23" s="7">
        <v>0.09</v>
      </c>
      <c r="J23" s="7" t="s">
        <v>12</v>
      </c>
      <c r="K23" s="12">
        <v>46191</v>
      </c>
      <c r="L23" s="13">
        <v>46216</v>
      </c>
      <c r="M23" s="7">
        <v>25</v>
      </c>
      <c r="N23" s="7">
        <v>5.04</v>
      </c>
      <c r="O23" s="7">
        <v>1.99</v>
      </c>
      <c r="P23" s="7">
        <v>85</v>
      </c>
      <c r="Q23" s="7">
        <v>85</v>
      </c>
      <c r="R23" s="7">
        <v>85</v>
      </c>
      <c r="S23" s="17">
        <v>24500</v>
      </c>
      <c r="T23" s="7">
        <v>272</v>
      </c>
      <c r="U23" s="17">
        <v>3022</v>
      </c>
      <c r="V23" s="7">
        <v>432</v>
      </c>
      <c r="W23" s="7" t="s">
        <v>33</v>
      </c>
      <c r="X23" s="7" t="s">
        <v>30</v>
      </c>
      <c r="Y23" s="7" t="s">
        <v>33</v>
      </c>
      <c r="Z23" s="7" t="s">
        <v>31</v>
      </c>
      <c r="AA23" s="7">
        <v>0.7</v>
      </c>
      <c r="AB23" s="7"/>
      <c r="AC23" s="7"/>
      <c r="AD23" s="7"/>
      <c r="AE23" s="7"/>
    </row>
    <row r="24" spans="1:31" hidden="1" x14ac:dyDescent="0.3">
      <c r="A24" s="5">
        <v>2026</v>
      </c>
      <c r="B24" s="6">
        <v>29</v>
      </c>
      <c r="C24" s="7" t="s">
        <v>16</v>
      </c>
      <c r="D24" s="7">
        <v>5</v>
      </c>
      <c r="E24" s="7">
        <v>1</v>
      </c>
      <c r="F24" s="7">
        <v>1</v>
      </c>
      <c r="G24" s="7" t="s">
        <v>11</v>
      </c>
      <c r="H24" s="7">
        <v>1</v>
      </c>
      <c r="I24" s="7">
        <v>0.09</v>
      </c>
      <c r="J24" s="7" t="s">
        <v>12</v>
      </c>
      <c r="K24" s="12">
        <v>46191</v>
      </c>
      <c r="L24" s="13">
        <v>46216</v>
      </c>
      <c r="M24" s="7">
        <v>25</v>
      </c>
      <c r="N24" s="7">
        <v>5.29</v>
      </c>
      <c r="O24" s="7">
        <v>2.15</v>
      </c>
      <c r="P24" s="7">
        <v>85</v>
      </c>
      <c r="Q24" s="7">
        <v>85</v>
      </c>
      <c r="R24" s="7">
        <v>85</v>
      </c>
      <c r="S24" s="17">
        <v>24500</v>
      </c>
      <c r="T24" s="7">
        <v>285</v>
      </c>
      <c r="U24" s="17">
        <v>3172</v>
      </c>
      <c r="V24" s="7">
        <v>453</v>
      </c>
      <c r="W24" s="7" t="s">
        <v>33</v>
      </c>
      <c r="X24" s="7" t="s">
        <v>30</v>
      </c>
      <c r="Y24" s="7" t="s">
        <v>33</v>
      </c>
      <c r="Z24" s="7" t="s">
        <v>31</v>
      </c>
      <c r="AA24" s="7">
        <v>0.67</v>
      </c>
      <c r="AB24" s="7"/>
      <c r="AC24" s="7"/>
      <c r="AD24" s="7"/>
      <c r="AE24" s="7"/>
    </row>
    <row r="25" spans="1:31" hidden="1" x14ac:dyDescent="0.3">
      <c r="A25" s="5">
        <v>2026</v>
      </c>
      <c r="B25" s="6">
        <v>29</v>
      </c>
      <c r="C25" s="7" t="s">
        <v>17</v>
      </c>
      <c r="D25" s="7">
        <v>6</v>
      </c>
      <c r="E25" s="7">
        <v>1</v>
      </c>
      <c r="F25" s="7">
        <v>1</v>
      </c>
      <c r="G25" s="7" t="s">
        <v>11</v>
      </c>
      <c r="H25" s="7">
        <v>1</v>
      </c>
      <c r="I25" s="7">
        <v>0.09</v>
      </c>
      <c r="J25" s="7" t="s">
        <v>12</v>
      </c>
      <c r="K25" s="12">
        <v>46191</v>
      </c>
      <c r="L25" s="13">
        <v>46216</v>
      </c>
      <c r="M25" s="7">
        <v>25</v>
      </c>
      <c r="N25" s="7">
        <v>5.3</v>
      </c>
      <c r="O25" s="7">
        <v>1.84</v>
      </c>
      <c r="P25" s="7">
        <v>85</v>
      </c>
      <c r="Q25" s="7">
        <v>85</v>
      </c>
      <c r="R25" s="7">
        <v>85</v>
      </c>
      <c r="S25" s="17">
        <v>24500</v>
      </c>
      <c r="T25" s="7">
        <v>286</v>
      </c>
      <c r="U25" s="17">
        <v>3178</v>
      </c>
      <c r="V25" s="7">
        <v>454</v>
      </c>
      <c r="W25" s="7" t="s">
        <v>33</v>
      </c>
      <c r="X25" s="7" t="s">
        <v>30</v>
      </c>
      <c r="Y25" s="7" t="s">
        <v>33</v>
      </c>
      <c r="Z25" s="7" t="s">
        <v>31</v>
      </c>
      <c r="AA25" s="7">
        <v>0.66</v>
      </c>
      <c r="AB25" s="7"/>
      <c r="AC25" s="7"/>
      <c r="AD25" s="7"/>
      <c r="AE25" s="7"/>
    </row>
    <row r="26" spans="1:31" hidden="1" x14ac:dyDescent="0.3">
      <c r="A26" s="5">
        <v>2026</v>
      </c>
      <c r="B26" s="6">
        <v>30</v>
      </c>
      <c r="C26" s="7" t="s">
        <v>10</v>
      </c>
      <c r="D26" s="7">
        <v>1</v>
      </c>
      <c r="E26" s="7">
        <v>1</v>
      </c>
      <c r="F26" s="7">
        <v>1</v>
      </c>
      <c r="G26" s="7" t="s">
        <v>11</v>
      </c>
      <c r="H26" s="7">
        <v>1</v>
      </c>
      <c r="I26" s="7">
        <v>0.09</v>
      </c>
      <c r="J26" s="7" t="s">
        <v>12</v>
      </c>
      <c r="K26" s="12">
        <v>46191</v>
      </c>
      <c r="L26" s="13">
        <v>46223</v>
      </c>
      <c r="M26" s="7">
        <v>32</v>
      </c>
      <c r="N26" s="7">
        <v>7.08</v>
      </c>
      <c r="O26" s="7">
        <v>2.23</v>
      </c>
      <c r="P26" s="7">
        <v>80</v>
      </c>
      <c r="Q26" s="7">
        <v>80</v>
      </c>
      <c r="R26" s="7">
        <v>80</v>
      </c>
      <c r="S26" s="17">
        <v>23139</v>
      </c>
      <c r="T26" s="8">
        <v>361</v>
      </c>
      <c r="U26" s="18">
        <v>4009</v>
      </c>
      <c r="V26" s="8">
        <v>573</v>
      </c>
      <c r="W26" s="7" t="s">
        <v>34</v>
      </c>
      <c r="X26" s="8" t="s">
        <v>30</v>
      </c>
      <c r="Y26" s="7" t="s">
        <v>34</v>
      </c>
      <c r="Z26" s="7" t="s">
        <v>35</v>
      </c>
      <c r="AA26" s="7">
        <v>0.87</v>
      </c>
      <c r="AB26" s="7"/>
      <c r="AC26" s="7"/>
      <c r="AD26" s="7"/>
      <c r="AE26" s="7"/>
    </row>
    <row r="27" spans="1:31" hidden="1" x14ac:dyDescent="0.3">
      <c r="A27" s="5">
        <v>2026</v>
      </c>
      <c r="B27" s="6">
        <v>30</v>
      </c>
      <c r="C27" s="7" t="s">
        <v>13</v>
      </c>
      <c r="D27" s="7">
        <v>2</v>
      </c>
      <c r="E27" s="7">
        <v>1</v>
      </c>
      <c r="F27" s="7">
        <v>1</v>
      </c>
      <c r="G27" s="7" t="s">
        <v>11</v>
      </c>
      <c r="H27" s="7">
        <v>1</v>
      </c>
      <c r="I27" s="7">
        <v>0.09</v>
      </c>
      <c r="J27" s="7" t="s">
        <v>12</v>
      </c>
      <c r="K27" s="12">
        <v>46191</v>
      </c>
      <c r="L27" s="13">
        <v>46223</v>
      </c>
      <c r="M27" s="7">
        <v>32</v>
      </c>
      <c r="N27" s="7">
        <v>6.97</v>
      </c>
      <c r="O27" s="7">
        <v>2.13</v>
      </c>
      <c r="P27" s="7">
        <v>80</v>
      </c>
      <c r="Q27" s="7">
        <v>80</v>
      </c>
      <c r="R27" s="7">
        <v>80</v>
      </c>
      <c r="S27" s="17">
        <v>22000</v>
      </c>
      <c r="T27" s="8">
        <v>338</v>
      </c>
      <c r="U27" s="18">
        <v>3753</v>
      </c>
      <c r="V27" s="8">
        <v>536</v>
      </c>
      <c r="W27" s="7" t="s">
        <v>34</v>
      </c>
      <c r="X27" s="8" t="s">
        <v>30</v>
      </c>
      <c r="Y27" s="7" t="s">
        <v>34</v>
      </c>
      <c r="Z27" s="7" t="s">
        <v>35</v>
      </c>
      <c r="AA27" s="7">
        <v>0.91</v>
      </c>
      <c r="AB27" s="7"/>
      <c r="AC27" s="7"/>
      <c r="AD27" s="7"/>
      <c r="AE27" s="7"/>
    </row>
    <row r="28" spans="1:31" hidden="1" x14ac:dyDescent="0.3">
      <c r="A28" s="5">
        <v>2026</v>
      </c>
      <c r="B28" s="6">
        <v>30</v>
      </c>
      <c r="C28" s="7" t="s">
        <v>14</v>
      </c>
      <c r="D28" s="7">
        <v>3</v>
      </c>
      <c r="E28" s="7">
        <v>1</v>
      </c>
      <c r="F28" s="7">
        <v>1</v>
      </c>
      <c r="G28" s="7" t="s">
        <v>11</v>
      </c>
      <c r="H28" s="7">
        <v>1</v>
      </c>
      <c r="I28" s="7">
        <v>0.09</v>
      </c>
      <c r="J28" s="7" t="s">
        <v>12</v>
      </c>
      <c r="K28" s="12">
        <v>46191</v>
      </c>
      <c r="L28" s="13">
        <v>46223</v>
      </c>
      <c r="M28" s="7">
        <v>32</v>
      </c>
      <c r="N28" s="7">
        <v>7.62</v>
      </c>
      <c r="O28" s="7">
        <v>2.33</v>
      </c>
      <c r="P28" s="7">
        <v>80</v>
      </c>
      <c r="Q28" s="7">
        <v>80</v>
      </c>
      <c r="R28" s="7">
        <v>80</v>
      </c>
      <c r="S28" s="17">
        <v>23100</v>
      </c>
      <c r="T28" s="8">
        <v>388</v>
      </c>
      <c r="U28" s="18">
        <v>4308</v>
      </c>
      <c r="V28" s="8">
        <v>615</v>
      </c>
      <c r="W28" s="7" t="s">
        <v>34</v>
      </c>
      <c r="X28" s="8" t="s">
        <v>30</v>
      </c>
      <c r="Y28" s="7" t="s">
        <v>34</v>
      </c>
      <c r="Z28" s="7" t="s">
        <v>35</v>
      </c>
      <c r="AA28" s="7">
        <v>0.83</v>
      </c>
      <c r="AB28" s="7"/>
      <c r="AC28" s="7"/>
      <c r="AD28" s="7"/>
      <c r="AE28" s="7"/>
    </row>
    <row r="29" spans="1:31" hidden="1" x14ac:dyDescent="0.3">
      <c r="A29" s="5">
        <v>2026</v>
      </c>
      <c r="B29" s="6">
        <v>30</v>
      </c>
      <c r="C29" s="7" t="s">
        <v>15</v>
      </c>
      <c r="D29" s="7">
        <v>4</v>
      </c>
      <c r="E29" s="7">
        <v>1</v>
      </c>
      <c r="F29" s="7">
        <v>1</v>
      </c>
      <c r="G29" s="7" t="s">
        <v>11</v>
      </c>
      <c r="H29" s="7">
        <v>1</v>
      </c>
      <c r="I29" s="7">
        <v>0.09</v>
      </c>
      <c r="J29" s="7" t="s">
        <v>12</v>
      </c>
      <c r="K29" s="12">
        <v>46191</v>
      </c>
      <c r="L29" s="13">
        <v>46223</v>
      </c>
      <c r="M29" s="7">
        <v>32</v>
      </c>
      <c r="N29" s="7">
        <v>7.11</v>
      </c>
      <c r="O29" s="7">
        <v>2.0699999999999998</v>
      </c>
      <c r="P29" s="7">
        <v>80</v>
      </c>
      <c r="Q29" s="7">
        <v>80</v>
      </c>
      <c r="R29" s="7">
        <v>80</v>
      </c>
      <c r="S29" s="17">
        <v>23100</v>
      </c>
      <c r="T29" s="8">
        <v>362</v>
      </c>
      <c r="U29" s="18">
        <v>4020</v>
      </c>
      <c r="V29" s="8">
        <v>574</v>
      </c>
      <c r="W29" s="7" t="s">
        <v>34</v>
      </c>
      <c r="X29" s="8" t="s">
        <v>30</v>
      </c>
      <c r="Y29" s="7" t="s">
        <v>34</v>
      </c>
      <c r="Z29" s="7" t="s">
        <v>35</v>
      </c>
      <c r="AA29" s="7">
        <v>0.84</v>
      </c>
      <c r="AB29" s="7"/>
      <c r="AC29" s="7"/>
      <c r="AD29" s="7"/>
      <c r="AE29" s="7"/>
    </row>
    <row r="30" spans="1:31" hidden="1" x14ac:dyDescent="0.3">
      <c r="A30" s="5">
        <v>2026</v>
      </c>
      <c r="B30" s="6">
        <v>30</v>
      </c>
      <c r="C30" s="7" t="s">
        <v>16</v>
      </c>
      <c r="D30" s="7">
        <v>5</v>
      </c>
      <c r="E30" s="7">
        <v>1</v>
      </c>
      <c r="F30" s="7">
        <v>1</v>
      </c>
      <c r="G30" s="7" t="s">
        <v>11</v>
      </c>
      <c r="H30" s="7">
        <v>1</v>
      </c>
      <c r="I30" s="7">
        <v>0.09</v>
      </c>
      <c r="J30" s="7" t="s">
        <v>12</v>
      </c>
      <c r="K30" s="12">
        <v>46191</v>
      </c>
      <c r="L30" s="13">
        <v>46223</v>
      </c>
      <c r="M30" s="7">
        <v>32</v>
      </c>
      <c r="N30" s="7">
        <v>6.95</v>
      </c>
      <c r="O30" s="7">
        <v>1.66</v>
      </c>
      <c r="P30" s="7">
        <v>80</v>
      </c>
      <c r="Q30" s="7">
        <v>80</v>
      </c>
      <c r="R30" s="7">
        <v>80</v>
      </c>
      <c r="S30" s="17">
        <v>23100</v>
      </c>
      <c r="T30" s="8">
        <v>354</v>
      </c>
      <c r="U30" s="18">
        <v>3929</v>
      </c>
      <c r="V30" s="8">
        <v>561</v>
      </c>
      <c r="W30" s="7" t="s">
        <v>34</v>
      </c>
      <c r="X30" s="8" t="s">
        <v>30</v>
      </c>
      <c r="Y30" s="7" t="s">
        <v>34</v>
      </c>
      <c r="Z30" s="7" t="s">
        <v>35</v>
      </c>
      <c r="AA30" s="7">
        <v>0.91</v>
      </c>
      <c r="AB30" s="7"/>
      <c r="AC30" s="7"/>
      <c r="AD30" s="7"/>
      <c r="AE30" s="7"/>
    </row>
    <row r="31" spans="1:31" hidden="1" x14ac:dyDescent="0.3">
      <c r="A31" s="9">
        <v>2026</v>
      </c>
      <c r="B31" s="10">
        <v>30</v>
      </c>
      <c r="C31" s="8" t="s">
        <v>17</v>
      </c>
      <c r="D31" s="8">
        <v>6</v>
      </c>
      <c r="E31" s="8">
        <v>1</v>
      </c>
      <c r="F31" s="8">
        <v>1</v>
      </c>
      <c r="G31" s="8" t="s">
        <v>11</v>
      </c>
      <c r="H31" s="8">
        <v>1</v>
      </c>
      <c r="I31" s="8">
        <v>0.09</v>
      </c>
      <c r="J31" s="8" t="s">
        <v>12</v>
      </c>
      <c r="K31" s="14">
        <v>46191</v>
      </c>
      <c r="L31" s="13">
        <v>46223</v>
      </c>
      <c r="M31" s="7">
        <v>32</v>
      </c>
      <c r="N31" s="8">
        <v>7.72</v>
      </c>
      <c r="O31" s="8">
        <v>2.42</v>
      </c>
      <c r="P31" s="7">
        <v>80</v>
      </c>
      <c r="Q31" s="7">
        <v>80</v>
      </c>
      <c r="R31" s="7">
        <v>80</v>
      </c>
      <c r="S31" s="18">
        <v>23100</v>
      </c>
      <c r="T31" s="8">
        <v>393</v>
      </c>
      <c r="U31" s="18">
        <v>4364</v>
      </c>
      <c r="V31" s="8">
        <v>623</v>
      </c>
      <c r="W31" s="7" t="s">
        <v>34</v>
      </c>
      <c r="X31" s="8" t="s">
        <v>30</v>
      </c>
      <c r="Y31" s="7" t="s">
        <v>34</v>
      </c>
      <c r="Z31" s="7" t="s">
        <v>35</v>
      </c>
      <c r="AA31" s="7">
        <v>0.81</v>
      </c>
      <c r="AB31" s="8"/>
      <c r="AC31" s="8"/>
      <c r="AD31" s="8"/>
      <c r="AE31" s="8"/>
    </row>
    <row r="32" spans="1:31" hidden="1" x14ac:dyDescent="0.3">
      <c r="A32" s="5">
        <v>2026</v>
      </c>
      <c r="B32" s="6">
        <v>31</v>
      </c>
      <c r="C32" s="7" t="s">
        <v>10</v>
      </c>
      <c r="D32" s="7">
        <v>1</v>
      </c>
      <c r="E32" s="7">
        <v>1</v>
      </c>
      <c r="F32" s="7">
        <v>1</v>
      </c>
      <c r="G32" s="7" t="s">
        <v>11</v>
      </c>
      <c r="H32" s="7">
        <v>1</v>
      </c>
      <c r="I32" s="7">
        <v>0.09</v>
      </c>
      <c r="J32" s="7" t="s">
        <v>12</v>
      </c>
      <c r="K32" s="12">
        <v>46191</v>
      </c>
      <c r="L32" s="13">
        <v>46230</v>
      </c>
      <c r="M32" s="7">
        <v>39</v>
      </c>
      <c r="N32" s="7">
        <v>10.18</v>
      </c>
      <c r="O32" s="7">
        <v>3.1</v>
      </c>
      <c r="P32" s="7">
        <v>80</v>
      </c>
      <c r="Q32" s="7">
        <v>80</v>
      </c>
      <c r="R32" s="7">
        <v>80</v>
      </c>
      <c r="S32" s="17">
        <v>21778</v>
      </c>
      <c r="T32" s="7">
        <v>488</v>
      </c>
      <c r="U32" s="17">
        <v>5426</v>
      </c>
      <c r="V32" s="7">
        <v>775</v>
      </c>
      <c r="W32" s="7" t="s">
        <v>34</v>
      </c>
      <c r="X32" s="7" t="s">
        <v>30</v>
      </c>
      <c r="Y32" s="7" t="s">
        <v>34</v>
      </c>
      <c r="Z32" s="7" t="s">
        <v>35</v>
      </c>
      <c r="AA32" s="7">
        <v>0.98</v>
      </c>
      <c r="AB32" s="7"/>
      <c r="AC32" s="7"/>
      <c r="AD32" s="7"/>
      <c r="AE32" s="7"/>
    </row>
    <row r="33" spans="1:31" hidden="1" x14ac:dyDescent="0.3">
      <c r="A33" s="5">
        <v>2026</v>
      </c>
      <c r="B33" s="6">
        <v>31</v>
      </c>
      <c r="C33" s="7" t="s">
        <v>13</v>
      </c>
      <c r="D33" s="7">
        <v>2</v>
      </c>
      <c r="E33" s="7">
        <v>1</v>
      </c>
      <c r="F33" s="7">
        <v>1</v>
      </c>
      <c r="G33" s="7" t="s">
        <v>11</v>
      </c>
      <c r="H33" s="7">
        <v>1</v>
      </c>
      <c r="I33" s="7">
        <v>0.09</v>
      </c>
      <c r="J33" s="7" t="s">
        <v>12</v>
      </c>
      <c r="K33" s="12">
        <v>46191</v>
      </c>
      <c r="L33" s="13">
        <v>46230</v>
      </c>
      <c r="M33" s="7">
        <v>39</v>
      </c>
      <c r="N33" s="7">
        <v>9.7799999999999994</v>
      </c>
      <c r="O33" s="7">
        <v>2.81</v>
      </c>
      <c r="P33" s="7">
        <v>80</v>
      </c>
      <c r="Q33" s="7">
        <v>80</v>
      </c>
      <c r="R33" s="7">
        <v>80</v>
      </c>
      <c r="S33" s="17">
        <v>22000</v>
      </c>
      <c r="T33" s="7">
        <v>474</v>
      </c>
      <c r="U33" s="17">
        <v>5266</v>
      </c>
      <c r="V33" s="7">
        <v>752</v>
      </c>
      <c r="W33" s="7" t="s">
        <v>34</v>
      </c>
      <c r="X33" s="7" t="s">
        <v>30</v>
      </c>
      <c r="Y33" s="7" t="s">
        <v>34</v>
      </c>
      <c r="Z33" s="7" t="s">
        <v>35</v>
      </c>
      <c r="AA33" s="7">
        <v>1.03</v>
      </c>
      <c r="AB33" s="7"/>
      <c r="AC33" s="7"/>
      <c r="AD33" s="7"/>
      <c r="AE33" s="7"/>
    </row>
    <row r="34" spans="1:31" hidden="1" x14ac:dyDescent="0.3">
      <c r="A34" s="5">
        <v>2026</v>
      </c>
      <c r="B34" s="6">
        <v>31</v>
      </c>
      <c r="C34" s="7" t="s">
        <v>14</v>
      </c>
      <c r="D34" s="7">
        <v>3</v>
      </c>
      <c r="E34" s="7">
        <v>1</v>
      </c>
      <c r="F34" s="7">
        <v>1</v>
      </c>
      <c r="G34" s="7" t="s">
        <v>11</v>
      </c>
      <c r="H34" s="7">
        <v>1</v>
      </c>
      <c r="I34" s="7">
        <v>0.09</v>
      </c>
      <c r="J34" s="7" t="s">
        <v>12</v>
      </c>
      <c r="K34" s="12">
        <v>46191</v>
      </c>
      <c r="L34" s="13">
        <v>46230</v>
      </c>
      <c r="M34" s="7">
        <v>39</v>
      </c>
      <c r="N34" s="7">
        <v>10.08</v>
      </c>
      <c r="O34" s="7">
        <v>2.46</v>
      </c>
      <c r="P34" s="7">
        <v>80</v>
      </c>
      <c r="Q34" s="7">
        <v>80</v>
      </c>
      <c r="R34" s="7">
        <v>80</v>
      </c>
      <c r="S34" s="17">
        <v>22000</v>
      </c>
      <c r="T34" s="7">
        <v>488</v>
      </c>
      <c r="U34" s="17">
        <v>5427</v>
      </c>
      <c r="V34" s="7">
        <v>775</v>
      </c>
      <c r="W34" s="7" t="s">
        <v>34</v>
      </c>
      <c r="X34" s="7" t="s">
        <v>30</v>
      </c>
      <c r="Y34" s="7" t="s">
        <v>34</v>
      </c>
      <c r="Z34" s="7" t="s">
        <v>35</v>
      </c>
      <c r="AA34" s="7">
        <v>1</v>
      </c>
      <c r="AB34" s="7"/>
      <c r="AC34" s="7"/>
      <c r="AD34" s="7"/>
      <c r="AE34" s="7"/>
    </row>
    <row r="35" spans="1:31" hidden="1" x14ac:dyDescent="0.3">
      <c r="A35" s="5">
        <v>2026</v>
      </c>
      <c r="B35" s="6">
        <v>31</v>
      </c>
      <c r="C35" s="7" t="s">
        <v>15</v>
      </c>
      <c r="D35" s="7">
        <v>4</v>
      </c>
      <c r="E35" s="7">
        <v>1</v>
      </c>
      <c r="F35" s="7">
        <v>1</v>
      </c>
      <c r="G35" s="7" t="s">
        <v>11</v>
      </c>
      <c r="H35" s="7">
        <v>1</v>
      </c>
      <c r="I35" s="7">
        <v>0.09</v>
      </c>
      <c r="J35" s="7" t="s">
        <v>12</v>
      </c>
      <c r="K35" s="12">
        <v>46191</v>
      </c>
      <c r="L35" s="13">
        <v>46230</v>
      </c>
      <c r="M35" s="7">
        <v>39</v>
      </c>
      <c r="N35" s="7">
        <v>10.45</v>
      </c>
      <c r="O35" s="7">
        <v>3.34</v>
      </c>
      <c r="P35" s="7">
        <v>80</v>
      </c>
      <c r="Q35" s="7">
        <v>80</v>
      </c>
      <c r="R35" s="7">
        <v>80</v>
      </c>
      <c r="S35" s="17">
        <v>22000</v>
      </c>
      <c r="T35" s="7">
        <v>506</v>
      </c>
      <c r="U35" s="17">
        <v>5627</v>
      </c>
      <c r="V35" s="7">
        <v>804</v>
      </c>
      <c r="W35" s="7" t="s">
        <v>34</v>
      </c>
      <c r="X35" s="7" t="s">
        <v>30</v>
      </c>
      <c r="Y35" s="7" t="s">
        <v>34</v>
      </c>
      <c r="Z35" s="7" t="s">
        <v>35</v>
      </c>
      <c r="AA35" s="7">
        <v>0.98</v>
      </c>
      <c r="AB35" s="7"/>
      <c r="AC35" s="7"/>
      <c r="AD35" s="7"/>
      <c r="AE35" s="7"/>
    </row>
    <row r="36" spans="1:31" hidden="1" x14ac:dyDescent="0.3">
      <c r="A36" s="5">
        <v>2026</v>
      </c>
      <c r="B36" s="6">
        <v>31</v>
      </c>
      <c r="C36" s="7" t="s">
        <v>16</v>
      </c>
      <c r="D36" s="7">
        <v>5</v>
      </c>
      <c r="E36" s="7">
        <v>1</v>
      </c>
      <c r="F36" s="7">
        <v>1</v>
      </c>
      <c r="G36" s="7" t="s">
        <v>11</v>
      </c>
      <c r="H36" s="7">
        <v>1</v>
      </c>
      <c r="I36" s="7">
        <v>0.09</v>
      </c>
      <c r="J36" s="7" t="s">
        <v>12</v>
      </c>
      <c r="K36" s="12">
        <v>46191</v>
      </c>
      <c r="L36" s="13">
        <v>46230</v>
      </c>
      <c r="M36" s="7">
        <v>39</v>
      </c>
      <c r="N36" s="7">
        <v>10.14</v>
      </c>
      <c r="O36" s="7">
        <v>3.19</v>
      </c>
      <c r="P36" s="7">
        <v>80</v>
      </c>
      <c r="Q36" s="7">
        <v>80</v>
      </c>
      <c r="R36" s="7">
        <v>80</v>
      </c>
      <c r="S36" s="17">
        <v>22000</v>
      </c>
      <c r="T36" s="7">
        <v>491</v>
      </c>
      <c r="U36" s="17">
        <v>5460</v>
      </c>
      <c r="V36" s="7">
        <v>780</v>
      </c>
      <c r="W36" s="7" t="s">
        <v>34</v>
      </c>
      <c r="X36" s="7" t="s">
        <v>30</v>
      </c>
      <c r="Y36" s="7" t="s">
        <v>34</v>
      </c>
      <c r="Z36" s="7" t="s">
        <v>35</v>
      </c>
      <c r="AA36" s="7">
        <v>0.99</v>
      </c>
      <c r="AB36" s="7"/>
      <c r="AC36" s="7"/>
      <c r="AD36" s="7"/>
      <c r="AE36" s="7"/>
    </row>
    <row r="37" spans="1:31" hidden="1" x14ac:dyDescent="0.3">
      <c r="A37" s="5">
        <v>2026</v>
      </c>
      <c r="B37" s="6">
        <v>31</v>
      </c>
      <c r="C37" s="7" t="s">
        <v>17</v>
      </c>
      <c r="D37" s="7">
        <v>6</v>
      </c>
      <c r="E37" s="7">
        <v>1</v>
      </c>
      <c r="F37" s="7">
        <v>1</v>
      </c>
      <c r="G37" s="7" t="s">
        <v>11</v>
      </c>
      <c r="H37" s="7">
        <v>1</v>
      </c>
      <c r="I37" s="7">
        <v>0.09</v>
      </c>
      <c r="J37" s="7" t="s">
        <v>12</v>
      </c>
      <c r="K37" s="12">
        <v>46191</v>
      </c>
      <c r="L37" s="13">
        <v>46230</v>
      </c>
      <c r="M37" s="7">
        <v>39</v>
      </c>
      <c r="N37" s="7">
        <v>10.1</v>
      </c>
      <c r="O37" s="7">
        <v>2.38</v>
      </c>
      <c r="P37" s="7">
        <v>80</v>
      </c>
      <c r="Q37" s="7">
        <v>80</v>
      </c>
      <c r="R37" s="7">
        <v>80</v>
      </c>
      <c r="S37" s="17">
        <v>22000</v>
      </c>
      <c r="T37" s="7">
        <v>489</v>
      </c>
      <c r="U37" s="17">
        <v>5438</v>
      </c>
      <c r="V37" s="7">
        <v>777</v>
      </c>
      <c r="W37" s="7" t="s">
        <v>34</v>
      </c>
      <c r="X37" s="7" t="s">
        <v>30</v>
      </c>
      <c r="Y37" s="7" t="s">
        <v>34</v>
      </c>
      <c r="Z37" s="7" t="s">
        <v>35</v>
      </c>
      <c r="AA37" s="7">
        <v>1</v>
      </c>
      <c r="AB37" s="7"/>
      <c r="AC37" s="7"/>
      <c r="AD37" s="7"/>
      <c r="AE37" s="7"/>
    </row>
    <row r="38" spans="1:31" hidden="1" x14ac:dyDescent="0.3">
      <c r="A38" s="9">
        <v>2026</v>
      </c>
      <c r="B38" s="10">
        <v>32</v>
      </c>
      <c r="C38" s="8" t="s">
        <v>10</v>
      </c>
      <c r="D38" s="8">
        <v>1</v>
      </c>
      <c r="E38" s="8">
        <v>1</v>
      </c>
      <c r="F38" s="8">
        <v>1</v>
      </c>
      <c r="G38" s="8" t="s">
        <v>11</v>
      </c>
      <c r="H38" s="8">
        <v>1</v>
      </c>
      <c r="I38" s="8">
        <v>0.09</v>
      </c>
      <c r="J38" s="8" t="s">
        <v>12</v>
      </c>
      <c r="K38" s="14">
        <v>46191</v>
      </c>
      <c r="L38" s="15">
        <v>46237</v>
      </c>
      <c r="M38" s="8">
        <v>46</v>
      </c>
      <c r="N38" s="8">
        <v>13.53</v>
      </c>
      <c r="O38" s="8">
        <v>3.35</v>
      </c>
      <c r="P38" s="8">
        <v>80</v>
      </c>
      <c r="Q38" s="8">
        <v>80</v>
      </c>
      <c r="R38" s="8">
        <v>80</v>
      </c>
      <c r="S38" s="18">
        <v>21778</v>
      </c>
      <c r="T38" s="8">
        <v>649</v>
      </c>
      <c r="U38" s="18">
        <v>7211</v>
      </c>
      <c r="V38" s="18">
        <v>1030</v>
      </c>
      <c r="W38" s="8" t="s">
        <v>34</v>
      </c>
      <c r="X38" s="8" t="s">
        <v>30</v>
      </c>
      <c r="Y38" s="8" t="s">
        <v>34</v>
      </c>
      <c r="Z38" s="8" t="s">
        <v>35</v>
      </c>
      <c r="AA38" s="7">
        <v>1.1399999999999999</v>
      </c>
      <c r="AB38" s="8"/>
      <c r="AC38" s="8"/>
      <c r="AD38" s="8"/>
      <c r="AE38" s="8"/>
    </row>
    <row r="39" spans="1:31" hidden="1" x14ac:dyDescent="0.3">
      <c r="A39" s="5">
        <v>2026</v>
      </c>
      <c r="B39" s="6">
        <v>32</v>
      </c>
      <c r="C39" s="7" t="s">
        <v>13</v>
      </c>
      <c r="D39" s="7">
        <v>2</v>
      </c>
      <c r="E39" s="7">
        <v>1</v>
      </c>
      <c r="F39" s="7">
        <v>1</v>
      </c>
      <c r="G39" s="7" t="s">
        <v>11</v>
      </c>
      <c r="H39" s="7">
        <v>1</v>
      </c>
      <c r="I39" s="7">
        <v>0.09</v>
      </c>
      <c r="J39" s="7" t="s">
        <v>12</v>
      </c>
      <c r="K39" s="12">
        <v>46191</v>
      </c>
      <c r="L39" s="13">
        <v>46237</v>
      </c>
      <c r="M39" s="7">
        <v>46</v>
      </c>
      <c r="N39" s="7">
        <v>12.3</v>
      </c>
      <c r="O39" s="7">
        <v>2.52</v>
      </c>
      <c r="P39" s="7">
        <v>80</v>
      </c>
      <c r="Q39" s="7">
        <v>80</v>
      </c>
      <c r="R39" s="7">
        <v>80</v>
      </c>
      <c r="S39" s="17">
        <v>22000</v>
      </c>
      <c r="T39" s="7">
        <v>596</v>
      </c>
      <c r="U39" s="17">
        <v>6623</v>
      </c>
      <c r="V39" s="7">
        <v>946</v>
      </c>
      <c r="W39" s="7" t="s">
        <v>34</v>
      </c>
      <c r="X39" s="7" t="s">
        <v>30</v>
      </c>
      <c r="Y39" s="7" t="s">
        <v>34</v>
      </c>
      <c r="Z39" s="7" t="s">
        <v>35</v>
      </c>
      <c r="AA39" s="7">
        <v>1.26</v>
      </c>
      <c r="AB39" s="7"/>
      <c r="AC39" s="7"/>
      <c r="AD39" s="7"/>
      <c r="AE39" s="7"/>
    </row>
    <row r="40" spans="1:31" hidden="1" x14ac:dyDescent="0.3">
      <c r="A40" s="5">
        <v>2026</v>
      </c>
      <c r="B40" s="6">
        <v>32</v>
      </c>
      <c r="C40" s="7" t="s">
        <v>14</v>
      </c>
      <c r="D40" s="7">
        <v>3</v>
      </c>
      <c r="E40" s="7">
        <v>1</v>
      </c>
      <c r="F40" s="7">
        <v>1</v>
      </c>
      <c r="G40" s="7" t="s">
        <v>11</v>
      </c>
      <c r="H40" s="7">
        <v>1</v>
      </c>
      <c r="I40" s="7">
        <v>0.09</v>
      </c>
      <c r="J40" s="7" t="s">
        <v>12</v>
      </c>
      <c r="K40" s="12">
        <v>46191</v>
      </c>
      <c r="L40" s="13">
        <v>46237</v>
      </c>
      <c r="M40" s="7">
        <v>46</v>
      </c>
      <c r="N40" s="7">
        <v>13.05</v>
      </c>
      <c r="O40" s="7">
        <v>2.97</v>
      </c>
      <c r="P40" s="7">
        <v>80</v>
      </c>
      <c r="Q40" s="7">
        <v>80</v>
      </c>
      <c r="R40" s="7">
        <v>80</v>
      </c>
      <c r="S40" s="17">
        <v>22000</v>
      </c>
      <c r="T40" s="7">
        <v>632</v>
      </c>
      <c r="U40" s="17">
        <v>7026</v>
      </c>
      <c r="V40" s="17">
        <v>1004</v>
      </c>
      <c r="W40" s="7" t="s">
        <v>34</v>
      </c>
      <c r="X40" s="7" t="s">
        <v>30</v>
      </c>
      <c r="Y40" s="7" t="s">
        <v>34</v>
      </c>
      <c r="Z40" s="7" t="s">
        <v>35</v>
      </c>
      <c r="AA40" s="7">
        <v>1.18</v>
      </c>
      <c r="AB40" s="7"/>
      <c r="AC40" s="7"/>
      <c r="AD40" s="7"/>
      <c r="AE40" s="7"/>
    </row>
    <row r="41" spans="1:31" hidden="1" x14ac:dyDescent="0.3">
      <c r="A41" s="5">
        <v>2026</v>
      </c>
      <c r="B41" s="6">
        <v>32</v>
      </c>
      <c r="C41" s="7" t="s">
        <v>15</v>
      </c>
      <c r="D41" s="7">
        <v>4</v>
      </c>
      <c r="E41" s="7">
        <v>1</v>
      </c>
      <c r="F41" s="7">
        <v>1</v>
      </c>
      <c r="G41" s="7" t="s">
        <v>11</v>
      </c>
      <c r="H41" s="7">
        <v>1</v>
      </c>
      <c r="I41" s="7">
        <v>0.09</v>
      </c>
      <c r="J41" s="7" t="s">
        <v>12</v>
      </c>
      <c r="K41" s="12">
        <v>46191</v>
      </c>
      <c r="L41" s="13">
        <v>46237</v>
      </c>
      <c r="M41" s="7">
        <v>46</v>
      </c>
      <c r="N41" s="7">
        <v>13.4</v>
      </c>
      <c r="O41" s="7">
        <v>2.95</v>
      </c>
      <c r="P41" s="7">
        <v>80</v>
      </c>
      <c r="Q41" s="7">
        <v>80</v>
      </c>
      <c r="R41" s="7">
        <v>80</v>
      </c>
      <c r="S41" s="17">
        <v>22000</v>
      </c>
      <c r="T41" s="25">
        <f>S41*N41/454</f>
        <v>649.33920704845821</v>
      </c>
      <c r="U41" s="17">
        <f>T41/0.09</f>
        <v>7214.8800783162023</v>
      </c>
      <c r="V41" s="18">
        <f>U41/7</f>
        <v>1030.6971540451718</v>
      </c>
      <c r="W41" s="7" t="s">
        <v>34</v>
      </c>
      <c r="X41" s="7" t="s">
        <v>30</v>
      </c>
      <c r="Y41" s="7" t="s">
        <v>34</v>
      </c>
      <c r="Z41" s="7" t="s">
        <v>35</v>
      </c>
      <c r="AA41" s="7">
        <v>1.1100000000000001</v>
      </c>
      <c r="AB41" s="7"/>
      <c r="AC41" s="7"/>
      <c r="AD41" s="7"/>
      <c r="AE41" s="7"/>
    </row>
    <row r="42" spans="1:31" hidden="1" x14ac:dyDescent="0.3">
      <c r="A42" s="9">
        <v>2026</v>
      </c>
      <c r="B42" s="10">
        <v>32</v>
      </c>
      <c r="C42" s="8" t="s">
        <v>16</v>
      </c>
      <c r="D42" s="8">
        <v>5</v>
      </c>
      <c r="E42" s="8">
        <v>1</v>
      </c>
      <c r="F42" s="8">
        <v>1</v>
      </c>
      <c r="G42" s="8" t="s">
        <v>11</v>
      </c>
      <c r="H42" s="8">
        <v>1</v>
      </c>
      <c r="I42" s="8">
        <v>0.09</v>
      </c>
      <c r="J42" s="8" t="s">
        <v>12</v>
      </c>
      <c r="K42" s="14">
        <v>46191</v>
      </c>
      <c r="L42" s="15">
        <v>46237</v>
      </c>
      <c r="M42" s="8">
        <v>46</v>
      </c>
      <c r="N42" s="8">
        <v>13.94</v>
      </c>
      <c r="O42" s="8">
        <v>3.8</v>
      </c>
      <c r="P42" s="8">
        <v>80</v>
      </c>
      <c r="Q42" s="8">
        <v>80</v>
      </c>
      <c r="R42" s="8">
        <v>80</v>
      </c>
      <c r="S42" s="18">
        <v>22000</v>
      </c>
      <c r="T42" s="8">
        <v>676</v>
      </c>
      <c r="U42" s="18">
        <v>7506</v>
      </c>
      <c r="V42" s="18">
        <v>1072</v>
      </c>
      <c r="W42" s="8" t="s">
        <v>34</v>
      </c>
      <c r="X42" s="8" t="s">
        <v>30</v>
      </c>
      <c r="Y42" s="8" t="s">
        <v>34</v>
      </c>
      <c r="Z42" s="8" t="s">
        <v>35</v>
      </c>
      <c r="AA42" s="7">
        <v>1.1100000000000001</v>
      </c>
      <c r="AB42" s="8"/>
      <c r="AC42" s="8"/>
      <c r="AD42" s="8"/>
      <c r="AE42" s="8"/>
    </row>
    <row r="43" spans="1:31" hidden="1" x14ac:dyDescent="0.3">
      <c r="A43" s="9">
        <v>2026</v>
      </c>
      <c r="B43" s="10">
        <v>32</v>
      </c>
      <c r="C43" s="8" t="s">
        <v>17</v>
      </c>
      <c r="D43" s="8">
        <v>6</v>
      </c>
      <c r="E43" s="8">
        <v>1</v>
      </c>
      <c r="F43" s="8">
        <v>1</v>
      </c>
      <c r="G43" s="8" t="s">
        <v>11</v>
      </c>
      <c r="H43" s="8">
        <v>1</v>
      </c>
      <c r="I43" s="8">
        <v>0.09</v>
      </c>
      <c r="J43" s="8" t="s">
        <v>12</v>
      </c>
      <c r="K43" s="14">
        <v>46191</v>
      </c>
      <c r="L43" s="15">
        <v>46237</v>
      </c>
      <c r="M43" s="8">
        <v>46</v>
      </c>
      <c r="N43" s="8">
        <v>13.78</v>
      </c>
      <c r="O43" s="8">
        <v>3.68</v>
      </c>
      <c r="P43" s="8">
        <v>80</v>
      </c>
      <c r="Q43" s="8">
        <v>80</v>
      </c>
      <c r="R43" s="8">
        <v>80</v>
      </c>
      <c r="S43" s="18">
        <v>22000</v>
      </c>
      <c r="T43" s="8">
        <v>668</v>
      </c>
      <c r="U43" s="18">
        <v>7419</v>
      </c>
      <c r="V43" s="18">
        <v>1060</v>
      </c>
      <c r="W43" s="8" t="s">
        <v>34</v>
      </c>
      <c r="X43" s="8" t="s">
        <v>30</v>
      </c>
      <c r="Y43" s="8" t="s">
        <v>34</v>
      </c>
      <c r="Z43" s="8" t="s">
        <v>35</v>
      </c>
      <c r="AA43" s="7">
        <v>1</v>
      </c>
      <c r="AB43" s="8"/>
      <c r="AC43" s="8"/>
      <c r="AD43" s="8"/>
      <c r="AE43" s="8"/>
    </row>
    <row r="44" spans="1:31" hidden="1" x14ac:dyDescent="0.3">
      <c r="A44" s="5">
        <v>2026</v>
      </c>
      <c r="B44" s="6">
        <v>33</v>
      </c>
      <c r="C44" s="7" t="s">
        <v>10</v>
      </c>
      <c r="D44" s="7">
        <v>1</v>
      </c>
      <c r="E44" s="7">
        <v>1</v>
      </c>
      <c r="F44" s="7">
        <v>1</v>
      </c>
      <c r="G44" s="7" t="s">
        <v>11</v>
      </c>
      <c r="H44" s="7">
        <v>1</v>
      </c>
      <c r="I44" s="7">
        <v>0.09</v>
      </c>
      <c r="J44" s="7" t="s">
        <v>12</v>
      </c>
      <c r="K44" s="12">
        <v>46191</v>
      </c>
      <c r="L44" s="13">
        <v>46244</v>
      </c>
      <c r="M44" s="7">
        <v>53</v>
      </c>
      <c r="N44" s="7">
        <v>15.39</v>
      </c>
      <c r="O44" s="7">
        <v>1.86</v>
      </c>
      <c r="P44" s="7">
        <v>80</v>
      </c>
      <c r="Q44" s="7">
        <v>80</v>
      </c>
      <c r="R44" s="7">
        <v>80</v>
      </c>
      <c r="S44" s="17">
        <v>21778</v>
      </c>
      <c r="T44" s="7">
        <v>738</v>
      </c>
      <c r="U44" s="17">
        <v>8203</v>
      </c>
      <c r="V44" s="18">
        <v>1172</v>
      </c>
      <c r="W44" s="7" t="s">
        <v>34</v>
      </c>
      <c r="X44" s="7" t="s">
        <v>30</v>
      </c>
      <c r="Y44" s="7" t="s">
        <v>34</v>
      </c>
      <c r="Z44" s="7" t="s">
        <v>35</v>
      </c>
      <c r="AA44" s="7">
        <v>1.28</v>
      </c>
      <c r="AB44" s="7"/>
      <c r="AC44" s="7"/>
      <c r="AD44" s="7"/>
      <c r="AE44" s="7"/>
    </row>
    <row r="45" spans="1:31" hidden="1" x14ac:dyDescent="0.3">
      <c r="A45" s="5">
        <v>2026</v>
      </c>
      <c r="B45" s="6">
        <v>33</v>
      </c>
      <c r="C45" s="7" t="s">
        <v>13</v>
      </c>
      <c r="D45" s="7">
        <v>2</v>
      </c>
      <c r="E45" s="7">
        <v>1</v>
      </c>
      <c r="F45" s="7">
        <v>1</v>
      </c>
      <c r="G45" s="7" t="s">
        <v>11</v>
      </c>
      <c r="H45" s="7">
        <v>1</v>
      </c>
      <c r="I45" s="7">
        <v>0.09</v>
      </c>
      <c r="J45" s="7" t="s">
        <v>12</v>
      </c>
      <c r="K45" s="12">
        <v>46191</v>
      </c>
      <c r="L45" s="13">
        <v>46244</v>
      </c>
      <c r="M45" s="7">
        <v>53</v>
      </c>
      <c r="N45" s="7">
        <v>14.58</v>
      </c>
      <c r="O45" s="7">
        <v>2.2799999999999998</v>
      </c>
      <c r="P45" s="7">
        <v>80</v>
      </c>
      <c r="Q45" s="7">
        <v>80</v>
      </c>
      <c r="R45" s="7">
        <v>80</v>
      </c>
      <c r="S45" s="17">
        <v>22000</v>
      </c>
      <c r="T45" s="7">
        <v>707</v>
      </c>
      <c r="U45" s="17">
        <v>7850</v>
      </c>
      <c r="V45" s="18">
        <v>1121</v>
      </c>
      <c r="W45" s="7" t="s">
        <v>34</v>
      </c>
      <c r="X45" s="7" t="s">
        <v>30</v>
      </c>
      <c r="Y45" s="7" t="s">
        <v>34</v>
      </c>
      <c r="Z45" s="7" t="s">
        <v>35</v>
      </c>
      <c r="AA45" s="7">
        <v>1.34</v>
      </c>
      <c r="AB45" s="7"/>
      <c r="AC45" s="7"/>
      <c r="AD45" s="7"/>
      <c r="AE45" s="7"/>
    </row>
    <row r="46" spans="1:31" hidden="1" x14ac:dyDescent="0.3">
      <c r="A46" s="9">
        <v>2026</v>
      </c>
      <c r="B46" s="10">
        <v>33</v>
      </c>
      <c r="C46" s="8" t="s">
        <v>14</v>
      </c>
      <c r="D46" s="8">
        <v>3</v>
      </c>
      <c r="E46" s="8">
        <v>1</v>
      </c>
      <c r="F46" s="8">
        <v>1</v>
      </c>
      <c r="G46" s="8" t="s">
        <v>11</v>
      </c>
      <c r="H46" s="8">
        <v>1</v>
      </c>
      <c r="I46" s="8">
        <v>0.09</v>
      </c>
      <c r="J46" s="8" t="s">
        <v>12</v>
      </c>
      <c r="K46" s="14">
        <v>46191</v>
      </c>
      <c r="L46" s="15">
        <v>46244</v>
      </c>
      <c r="M46" s="8">
        <v>53</v>
      </c>
      <c r="N46" s="8">
        <v>15.65</v>
      </c>
      <c r="O46" s="8">
        <v>2.6</v>
      </c>
      <c r="P46" s="8">
        <v>80</v>
      </c>
      <c r="Q46" s="8">
        <v>80</v>
      </c>
      <c r="R46" s="8">
        <v>80</v>
      </c>
      <c r="S46" s="18">
        <v>22000</v>
      </c>
      <c r="T46" s="8">
        <v>758</v>
      </c>
      <c r="U46" s="18">
        <v>8426</v>
      </c>
      <c r="V46" s="18">
        <v>1204</v>
      </c>
      <c r="W46" s="8" t="s">
        <v>34</v>
      </c>
      <c r="X46" s="8" t="s">
        <v>30</v>
      </c>
      <c r="Y46" s="8" t="s">
        <v>34</v>
      </c>
      <c r="Z46" s="8" t="s">
        <v>35</v>
      </c>
      <c r="AA46" s="7">
        <v>1.25</v>
      </c>
      <c r="AB46" s="8"/>
      <c r="AC46" s="8"/>
      <c r="AD46" s="8"/>
      <c r="AE46" s="8"/>
    </row>
    <row r="47" spans="1:31" hidden="1" x14ac:dyDescent="0.3">
      <c r="A47" s="5">
        <v>2026</v>
      </c>
      <c r="B47" s="6">
        <v>33</v>
      </c>
      <c r="C47" s="7" t="s">
        <v>15</v>
      </c>
      <c r="D47" s="7">
        <v>4</v>
      </c>
      <c r="E47" s="7">
        <v>1</v>
      </c>
      <c r="F47" s="7">
        <v>1</v>
      </c>
      <c r="G47" s="7" t="s">
        <v>11</v>
      </c>
      <c r="H47" s="7">
        <v>1</v>
      </c>
      <c r="I47" s="7">
        <v>0.09</v>
      </c>
      <c r="J47" s="7" t="s">
        <v>12</v>
      </c>
      <c r="K47" s="12">
        <v>46191</v>
      </c>
      <c r="L47" s="13">
        <v>46244</v>
      </c>
      <c r="M47" s="7">
        <v>53</v>
      </c>
      <c r="N47" s="7">
        <v>16.43</v>
      </c>
      <c r="O47" s="7">
        <v>3.03</v>
      </c>
      <c r="P47" s="7">
        <v>80</v>
      </c>
      <c r="Q47" s="7">
        <v>80</v>
      </c>
      <c r="R47" s="7">
        <v>80</v>
      </c>
      <c r="S47" s="17">
        <v>22000</v>
      </c>
      <c r="T47" s="25">
        <f>S47*N47/454</f>
        <v>796.16740088105723</v>
      </c>
      <c r="U47" s="17">
        <f>T47/0.09</f>
        <v>8846.3044542339703</v>
      </c>
      <c r="V47" s="18">
        <f>U47/7</f>
        <v>1263.7577791762815</v>
      </c>
      <c r="W47" s="7" t="s">
        <v>34</v>
      </c>
      <c r="X47" s="7" t="s">
        <v>30</v>
      </c>
      <c r="Y47" s="7" t="s">
        <v>34</v>
      </c>
      <c r="Z47" s="7" t="s">
        <v>35</v>
      </c>
      <c r="AA47" s="7">
        <v>1.21</v>
      </c>
      <c r="AB47" s="7"/>
      <c r="AC47" s="7"/>
      <c r="AD47" s="7"/>
      <c r="AE47" s="7"/>
    </row>
    <row r="48" spans="1:31" hidden="1" x14ac:dyDescent="0.3">
      <c r="A48" s="5">
        <v>2026</v>
      </c>
      <c r="B48" s="6">
        <v>33</v>
      </c>
      <c r="C48" s="7" t="s">
        <v>16</v>
      </c>
      <c r="D48" s="7">
        <v>5</v>
      </c>
      <c r="E48" s="7">
        <v>1</v>
      </c>
      <c r="F48" s="7">
        <v>1</v>
      </c>
      <c r="G48" s="7" t="s">
        <v>11</v>
      </c>
      <c r="H48" s="7">
        <v>1</v>
      </c>
      <c r="I48" s="7">
        <v>0.09</v>
      </c>
      <c r="J48" s="7" t="s">
        <v>12</v>
      </c>
      <c r="K48" s="12">
        <v>46191</v>
      </c>
      <c r="L48" s="13">
        <v>46244</v>
      </c>
      <c r="M48" s="7">
        <v>53</v>
      </c>
      <c r="N48" s="7">
        <v>16.14</v>
      </c>
      <c r="O48" s="7">
        <v>2.2000000000000002</v>
      </c>
      <c r="P48" s="7">
        <v>80</v>
      </c>
      <c r="Q48" s="7">
        <v>80</v>
      </c>
      <c r="R48" s="7">
        <v>80</v>
      </c>
      <c r="S48" s="17">
        <v>22000</v>
      </c>
      <c r="T48" s="7">
        <v>782</v>
      </c>
      <c r="U48" s="17">
        <v>8690</v>
      </c>
      <c r="V48" s="17">
        <v>1241</v>
      </c>
      <c r="W48" s="7" t="s">
        <v>34</v>
      </c>
      <c r="X48" s="7" t="s">
        <v>30</v>
      </c>
      <c r="Y48" s="7" t="s">
        <v>34</v>
      </c>
      <c r="Z48" s="7" t="s">
        <v>35</v>
      </c>
      <c r="AA48" s="7">
        <v>1.19</v>
      </c>
      <c r="AB48" s="7"/>
      <c r="AC48" s="7"/>
      <c r="AD48" s="7"/>
      <c r="AE48" s="7"/>
    </row>
    <row r="49" spans="1:31" hidden="1" x14ac:dyDescent="0.3">
      <c r="A49" s="9">
        <v>2026</v>
      </c>
      <c r="B49" s="10">
        <v>33</v>
      </c>
      <c r="C49" s="8" t="s">
        <v>17</v>
      </c>
      <c r="D49" s="8">
        <v>6</v>
      </c>
      <c r="E49" s="8">
        <v>1</v>
      </c>
      <c r="F49" s="8">
        <v>1</v>
      </c>
      <c r="G49" s="8" t="s">
        <v>11</v>
      </c>
      <c r="H49" s="8">
        <v>1</v>
      </c>
      <c r="I49" s="8">
        <v>0.09</v>
      </c>
      <c r="J49" s="8" t="s">
        <v>12</v>
      </c>
      <c r="K49" s="14">
        <v>46191</v>
      </c>
      <c r="L49" s="15">
        <v>46244</v>
      </c>
      <c r="M49" s="8">
        <v>53</v>
      </c>
      <c r="N49" s="8">
        <v>16.13</v>
      </c>
      <c r="O49" s="8">
        <v>2.35</v>
      </c>
      <c r="P49" s="8">
        <v>80</v>
      </c>
      <c r="Q49" s="8">
        <v>80</v>
      </c>
      <c r="R49" s="8">
        <v>80</v>
      </c>
      <c r="S49" s="18">
        <v>22000</v>
      </c>
      <c r="T49" s="8">
        <v>782</v>
      </c>
      <c r="U49" s="18">
        <v>8685</v>
      </c>
      <c r="V49" s="18">
        <v>1241</v>
      </c>
      <c r="W49" s="8" t="s">
        <v>34</v>
      </c>
      <c r="X49" s="8" t="s">
        <v>30</v>
      </c>
      <c r="Y49" s="8" t="s">
        <v>34</v>
      </c>
      <c r="Z49" s="8" t="s">
        <v>35</v>
      </c>
      <c r="AA49" s="7">
        <v>1.23</v>
      </c>
      <c r="AB49" s="8"/>
      <c r="AC49" s="8"/>
      <c r="AD49" s="8"/>
      <c r="AE49" s="8"/>
    </row>
    <row r="50" spans="1:31" hidden="1" x14ac:dyDescent="0.3">
      <c r="A50" s="9">
        <v>2026</v>
      </c>
      <c r="B50" s="10">
        <v>34</v>
      </c>
      <c r="C50" s="8" t="s">
        <v>10</v>
      </c>
      <c r="D50" s="8">
        <v>1</v>
      </c>
      <c r="E50" s="8">
        <v>1</v>
      </c>
      <c r="F50" s="8">
        <v>1</v>
      </c>
      <c r="G50" s="8" t="s">
        <v>11</v>
      </c>
      <c r="H50" s="8">
        <v>1</v>
      </c>
      <c r="I50" s="8">
        <v>0.09</v>
      </c>
      <c r="J50" s="8" t="s">
        <v>12</v>
      </c>
      <c r="K50" s="14">
        <v>46191</v>
      </c>
      <c r="L50" s="15">
        <v>46251</v>
      </c>
      <c r="M50" s="8">
        <v>60</v>
      </c>
      <c r="N50" s="8">
        <v>17.579999999999998</v>
      </c>
      <c r="O50" s="8">
        <v>2.19</v>
      </c>
      <c r="P50" s="8">
        <v>80</v>
      </c>
      <c r="Q50" s="8">
        <v>80</v>
      </c>
      <c r="R50" s="8">
        <v>80</v>
      </c>
      <c r="S50" s="18">
        <v>21778</v>
      </c>
      <c r="T50" s="8">
        <v>843</v>
      </c>
      <c r="U50" s="18">
        <v>9370</v>
      </c>
      <c r="V50" s="18">
        <v>1339</v>
      </c>
      <c r="W50" s="8" t="s">
        <v>34</v>
      </c>
      <c r="X50" s="8" t="s">
        <v>30</v>
      </c>
      <c r="Y50" s="8" t="s">
        <v>34</v>
      </c>
      <c r="Z50" s="8" t="s">
        <v>36</v>
      </c>
      <c r="AA50" s="7">
        <v>1.37</v>
      </c>
      <c r="AB50" s="8"/>
      <c r="AC50" s="8"/>
      <c r="AD50" s="8"/>
      <c r="AE50" s="8"/>
    </row>
    <row r="51" spans="1:31" hidden="1" x14ac:dyDescent="0.3">
      <c r="A51" s="9">
        <v>2026</v>
      </c>
      <c r="B51" s="10">
        <v>34</v>
      </c>
      <c r="C51" s="8" t="s">
        <v>13</v>
      </c>
      <c r="D51" s="8">
        <v>2</v>
      </c>
      <c r="E51" s="8">
        <v>1</v>
      </c>
      <c r="F51" s="8">
        <v>1</v>
      </c>
      <c r="G51" s="8" t="s">
        <v>11</v>
      </c>
      <c r="H51" s="8">
        <v>1</v>
      </c>
      <c r="I51" s="8">
        <v>0.09</v>
      </c>
      <c r="J51" s="8" t="s">
        <v>12</v>
      </c>
      <c r="K51" s="14">
        <v>46191</v>
      </c>
      <c r="L51" s="15">
        <v>46251</v>
      </c>
      <c r="M51" s="8">
        <v>60</v>
      </c>
      <c r="N51" s="8">
        <v>18.52</v>
      </c>
      <c r="O51" s="8">
        <v>3.94</v>
      </c>
      <c r="P51" s="8">
        <v>80</v>
      </c>
      <c r="Q51" s="8">
        <v>80</v>
      </c>
      <c r="R51" s="8">
        <v>80</v>
      </c>
      <c r="S51" s="18">
        <v>22000</v>
      </c>
      <c r="T51" s="8">
        <v>897</v>
      </c>
      <c r="U51" s="18">
        <v>9972</v>
      </c>
      <c r="V51" s="18">
        <v>1425</v>
      </c>
      <c r="W51" s="8" t="s">
        <v>34</v>
      </c>
      <c r="X51" s="8" t="s">
        <v>30</v>
      </c>
      <c r="Y51" s="8" t="s">
        <v>34</v>
      </c>
      <c r="Z51" s="8" t="s">
        <v>36</v>
      </c>
      <c r="AA51" s="7">
        <v>1.29</v>
      </c>
      <c r="AB51" s="8"/>
      <c r="AC51" s="8"/>
      <c r="AD51" s="8"/>
      <c r="AE51" s="8"/>
    </row>
    <row r="52" spans="1:31" hidden="1" x14ac:dyDescent="0.3">
      <c r="A52" s="9">
        <v>2026</v>
      </c>
      <c r="B52" s="10">
        <v>34</v>
      </c>
      <c r="C52" s="8" t="s">
        <v>14</v>
      </c>
      <c r="D52" s="8">
        <v>3</v>
      </c>
      <c r="E52" s="8">
        <v>1</v>
      </c>
      <c r="F52" s="8">
        <v>1</v>
      </c>
      <c r="G52" s="8" t="s">
        <v>11</v>
      </c>
      <c r="H52" s="8">
        <v>1</v>
      </c>
      <c r="I52" s="8">
        <v>0.09</v>
      </c>
      <c r="J52" s="8" t="s">
        <v>12</v>
      </c>
      <c r="K52" s="14">
        <v>46191</v>
      </c>
      <c r="L52" s="15">
        <v>46251</v>
      </c>
      <c r="M52" s="8">
        <v>60</v>
      </c>
      <c r="N52" s="8">
        <v>18.7</v>
      </c>
      <c r="O52" s="8">
        <v>3.05</v>
      </c>
      <c r="P52" s="8">
        <v>80</v>
      </c>
      <c r="Q52" s="8">
        <v>80</v>
      </c>
      <c r="R52" s="8">
        <v>80</v>
      </c>
      <c r="S52" s="18">
        <v>22000</v>
      </c>
      <c r="T52" s="8">
        <v>906</v>
      </c>
      <c r="U52" s="18">
        <v>10069</v>
      </c>
      <c r="V52" s="18">
        <v>1438</v>
      </c>
      <c r="W52" s="8" t="s">
        <v>34</v>
      </c>
      <c r="X52" s="8" t="s">
        <v>30</v>
      </c>
      <c r="Y52" s="8" t="s">
        <v>34</v>
      </c>
      <c r="Z52" s="8" t="s">
        <v>36</v>
      </c>
      <c r="AA52" s="7">
        <v>1.28</v>
      </c>
      <c r="AB52" s="8"/>
      <c r="AC52" s="8"/>
      <c r="AD52" s="8"/>
      <c r="AE52" s="8"/>
    </row>
    <row r="53" spans="1:31" hidden="1" x14ac:dyDescent="0.3">
      <c r="A53" s="9">
        <v>2026</v>
      </c>
      <c r="B53" s="10">
        <v>34</v>
      </c>
      <c r="C53" s="8" t="s">
        <v>15</v>
      </c>
      <c r="D53" s="8">
        <v>4</v>
      </c>
      <c r="E53" s="8">
        <v>1</v>
      </c>
      <c r="F53" s="8">
        <v>1</v>
      </c>
      <c r="G53" s="8" t="s">
        <v>11</v>
      </c>
      <c r="H53" s="8">
        <v>1</v>
      </c>
      <c r="I53" s="8">
        <v>0.09</v>
      </c>
      <c r="J53" s="8" t="s">
        <v>12</v>
      </c>
      <c r="K53" s="14">
        <v>46191</v>
      </c>
      <c r="L53" s="15">
        <v>46251</v>
      </c>
      <c r="M53" s="8">
        <v>60</v>
      </c>
      <c r="N53" s="8">
        <v>19.8</v>
      </c>
      <c r="O53" s="8">
        <v>3.37</v>
      </c>
      <c r="P53" s="8">
        <v>80</v>
      </c>
      <c r="Q53" s="8">
        <v>80</v>
      </c>
      <c r="R53" s="8">
        <v>80</v>
      </c>
      <c r="S53" s="18">
        <v>22000</v>
      </c>
      <c r="T53" s="8">
        <v>959</v>
      </c>
      <c r="U53" s="18">
        <v>10661</v>
      </c>
      <c r="V53" s="18">
        <v>1523</v>
      </c>
      <c r="W53" s="8" t="s">
        <v>34</v>
      </c>
      <c r="X53" s="8" t="s">
        <v>30</v>
      </c>
      <c r="Y53" s="8" t="s">
        <v>34</v>
      </c>
      <c r="Z53" s="8" t="s">
        <v>36</v>
      </c>
      <c r="AA53" s="8">
        <v>1.3</v>
      </c>
      <c r="AB53" s="8"/>
      <c r="AC53" s="8"/>
      <c r="AD53" s="8"/>
      <c r="AE53" s="8"/>
    </row>
    <row r="54" spans="1:31" hidden="1" x14ac:dyDescent="0.3">
      <c r="A54" s="9">
        <v>2026</v>
      </c>
      <c r="B54" s="10">
        <v>34</v>
      </c>
      <c r="C54" s="8" t="s">
        <v>16</v>
      </c>
      <c r="D54" s="8">
        <v>5</v>
      </c>
      <c r="E54" s="8">
        <v>1</v>
      </c>
      <c r="F54" s="8">
        <v>1</v>
      </c>
      <c r="G54" s="8" t="s">
        <v>11</v>
      </c>
      <c r="H54" s="8">
        <v>1</v>
      </c>
      <c r="I54" s="8">
        <v>0.09</v>
      </c>
      <c r="J54" s="8" t="s">
        <v>12</v>
      </c>
      <c r="K54" s="14">
        <v>46191</v>
      </c>
      <c r="L54" s="15">
        <v>46251</v>
      </c>
      <c r="M54" s="8">
        <v>60</v>
      </c>
      <c r="N54" s="8">
        <v>19.78</v>
      </c>
      <c r="O54" s="8">
        <v>3.64</v>
      </c>
      <c r="P54" s="8">
        <v>80</v>
      </c>
      <c r="Q54" s="8">
        <v>80</v>
      </c>
      <c r="R54" s="8">
        <v>80</v>
      </c>
      <c r="S54" s="18">
        <v>22000</v>
      </c>
      <c r="T54" s="8">
        <v>959</v>
      </c>
      <c r="U54" s="18">
        <v>10650</v>
      </c>
      <c r="V54" s="18">
        <v>1521</v>
      </c>
      <c r="W54" s="8" t="s">
        <v>34</v>
      </c>
      <c r="X54" s="8" t="s">
        <v>30</v>
      </c>
      <c r="Y54" s="8" t="s">
        <v>34</v>
      </c>
      <c r="Z54" s="8" t="s">
        <v>36</v>
      </c>
      <c r="AA54" s="8">
        <v>1.18</v>
      </c>
      <c r="AB54" s="8"/>
      <c r="AC54" s="8"/>
      <c r="AD54" s="8"/>
      <c r="AE54" s="8"/>
    </row>
    <row r="55" spans="1:31" hidden="1" x14ac:dyDescent="0.3">
      <c r="A55" s="9">
        <v>2026</v>
      </c>
      <c r="B55" s="10">
        <v>34</v>
      </c>
      <c r="C55" s="8" t="s">
        <v>17</v>
      </c>
      <c r="D55" s="8">
        <v>6</v>
      </c>
      <c r="E55" s="8">
        <v>1</v>
      </c>
      <c r="F55" s="8">
        <v>1</v>
      </c>
      <c r="G55" s="8" t="s">
        <v>11</v>
      </c>
      <c r="H55" s="8">
        <v>1</v>
      </c>
      <c r="I55" s="8">
        <v>0.09</v>
      </c>
      <c r="J55" s="8" t="s">
        <v>12</v>
      </c>
      <c r="K55" s="14">
        <v>46191</v>
      </c>
      <c r="L55" s="15">
        <v>46251</v>
      </c>
      <c r="M55" s="8">
        <v>60</v>
      </c>
      <c r="N55" s="8">
        <v>20.149999999999999</v>
      </c>
      <c r="O55" s="8">
        <v>4.05</v>
      </c>
      <c r="P55" s="8">
        <v>80</v>
      </c>
      <c r="Q55" s="8">
        <v>80</v>
      </c>
      <c r="R55" s="8">
        <v>80</v>
      </c>
      <c r="S55" s="18">
        <v>22000</v>
      </c>
      <c r="T55" s="8">
        <v>976</v>
      </c>
      <c r="U55" s="18">
        <v>10849</v>
      </c>
      <c r="V55" s="18">
        <v>1550</v>
      </c>
      <c r="W55" s="8" t="s">
        <v>34</v>
      </c>
      <c r="X55" s="8" t="s">
        <v>30</v>
      </c>
      <c r="Y55" s="8" t="s">
        <v>34</v>
      </c>
      <c r="Z55" s="8" t="s">
        <v>36</v>
      </c>
      <c r="AA55" s="8">
        <v>1.2</v>
      </c>
      <c r="AB55" s="8"/>
      <c r="AC55" s="8"/>
      <c r="AD55" s="8"/>
      <c r="AE55" s="8"/>
    </row>
    <row r="56" spans="1:31" hidden="1" x14ac:dyDescent="0.3">
      <c r="A56" s="9">
        <v>2026</v>
      </c>
      <c r="B56" s="10">
        <v>35</v>
      </c>
      <c r="C56" s="8" t="s">
        <v>10</v>
      </c>
      <c r="D56" s="8">
        <v>1</v>
      </c>
      <c r="E56" s="8">
        <v>1</v>
      </c>
      <c r="F56" s="8">
        <v>1</v>
      </c>
      <c r="G56" s="8" t="s">
        <v>11</v>
      </c>
      <c r="H56" s="8">
        <v>1</v>
      </c>
      <c r="I56" s="8">
        <v>0.09</v>
      </c>
      <c r="J56" s="8" t="s">
        <v>12</v>
      </c>
      <c r="K56" s="14">
        <v>46191</v>
      </c>
      <c r="L56" s="15">
        <v>46258</v>
      </c>
      <c r="M56" s="8">
        <v>67</v>
      </c>
      <c r="N56" s="8">
        <v>21.24</v>
      </c>
      <c r="O56" s="8">
        <v>3.66</v>
      </c>
      <c r="P56" s="8">
        <v>80</v>
      </c>
      <c r="Q56" s="8">
        <v>80</v>
      </c>
      <c r="R56" s="8">
        <v>80</v>
      </c>
      <c r="S56" s="18">
        <v>21778</v>
      </c>
      <c r="T56" s="8">
        <v>1018</v>
      </c>
      <c r="U56" s="18">
        <v>11320.72</v>
      </c>
      <c r="V56" s="18">
        <v>1617.24</v>
      </c>
      <c r="W56" s="8" t="s">
        <v>34</v>
      </c>
      <c r="X56" s="8" t="s">
        <v>30</v>
      </c>
      <c r="Y56" s="8" t="s">
        <v>34</v>
      </c>
      <c r="Z56" s="8" t="s">
        <v>36</v>
      </c>
      <c r="AA56" s="7">
        <v>1.36</v>
      </c>
      <c r="AB56" s="8"/>
      <c r="AC56" s="8"/>
      <c r="AD56" s="8"/>
      <c r="AE56" s="8"/>
    </row>
    <row r="57" spans="1:31" hidden="1" x14ac:dyDescent="0.3">
      <c r="A57" s="9">
        <v>2026</v>
      </c>
      <c r="B57" s="10">
        <v>35</v>
      </c>
      <c r="C57" s="8" t="s">
        <v>13</v>
      </c>
      <c r="D57" s="8">
        <v>2</v>
      </c>
      <c r="E57" s="8">
        <v>1</v>
      </c>
      <c r="F57" s="8">
        <v>1</v>
      </c>
      <c r="G57" s="8" t="s">
        <v>11</v>
      </c>
      <c r="H57" s="8">
        <v>1</v>
      </c>
      <c r="I57" s="8">
        <v>0.09</v>
      </c>
      <c r="J57" s="8" t="s">
        <v>12</v>
      </c>
      <c r="K57" s="14">
        <v>46191</v>
      </c>
      <c r="L57" s="15">
        <v>46258</v>
      </c>
      <c r="M57" s="8">
        <v>67</v>
      </c>
      <c r="N57" s="8">
        <v>21.02</v>
      </c>
      <c r="O57" s="8">
        <v>2.5</v>
      </c>
      <c r="P57" s="8">
        <v>80</v>
      </c>
      <c r="Q57" s="8">
        <v>80</v>
      </c>
      <c r="R57" s="8">
        <v>80</v>
      </c>
      <c r="S57" s="18">
        <v>22000</v>
      </c>
      <c r="T57" s="23">
        <v>1018.59</v>
      </c>
      <c r="U57" s="18">
        <v>11317.67</v>
      </c>
      <c r="V57" s="18">
        <v>1616.81</v>
      </c>
      <c r="W57" s="8" t="s">
        <v>34</v>
      </c>
      <c r="X57" s="8" t="s">
        <v>30</v>
      </c>
      <c r="Y57" s="8" t="s">
        <v>34</v>
      </c>
      <c r="Z57" s="8" t="s">
        <v>36</v>
      </c>
      <c r="AA57" s="7">
        <v>1.35</v>
      </c>
      <c r="AB57" s="8"/>
      <c r="AC57" s="8"/>
      <c r="AD57" s="8"/>
      <c r="AE57" s="8"/>
    </row>
    <row r="58" spans="1:31" hidden="1" x14ac:dyDescent="0.3">
      <c r="A58" s="9">
        <v>2026</v>
      </c>
      <c r="B58" s="10">
        <v>35</v>
      </c>
      <c r="C58" s="8" t="s">
        <v>14</v>
      </c>
      <c r="D58" s="8">
        <v>3</v>
      </c>
      <c r="E58" s="8">
        <v>1</v>
      </c>
      <c r="F58" s="8">
        <v>1</v>
      </c>
      <c r="G58" s="8" t="s">
        <v>11</v>
      </c>
      <c r="H58" s="8">
        <v>1</v>
      </c>
      <c r="I58" s="8">
        <v>0.09</v>
      </c>
      <c r="J58" s="8" t="s">
        <v>12</v>
      </c>
      <c r="K58" s="14">
        <v>46191</v>
      </c>
      <c r="L58" s="15">
        <v>46258</v>
      </c>
      <c r="M58" s="8">
        <v>67</v>
      </c>
      <c r="N58" s="8">
        <v>22.26</v>
      </c>
      <c r="O58" s="8">
        <v>3.56</v>
      </c>
      <c r="P58" s="8">
        <v>80</v>
      </c>
      <c r="Q58" s="8">
        <v>80</v>
      </c>
      <c r="R58" s="8">
        <v>80</v>
      </c>
      <c r="S58" s="18">
        <v>22000</v>
      </c>
      <c r="T58" s="23">
        <v>1078.67</v>
      </c>
      <c r="U58" s="18">
        <f>T58/0.09</f>
        <v>11985.222222222223</v>
      </c>
      <c r="V58" s="18">
        <f>U58/7</f>
        <v>1712.1746031746031</v>
      </c>
      <c r="W58" s="8" t="s">
        <v>34</v>
      </c>
      <c r="X58" s="8" t="s">
        <v>30</v>
      </c>
      <c r="Y58" s="8" t="s">
        <v>34</v>
      </c>
      <c r="Z58" s="8" t="s">
        <v>36</v>
      </c>
      <c r="AA58" s="7">
        <v>1.29</v>
      </c>
      <c r="AB58" s="8"/>
      <c r="AC58" s="8"/>
      <c r="AD58" s="8"/>
      <c r="AE58" s="8"/>
    </row>
    <row r="59" spans="1:31" hidden="1" x14ac:dyDescent="0.3">
      <c r="A59" s="9">
        <v>2026</v>
      </c>
      <c r="B59" s="10">
        <v>35</v>
      </c>
      <c r="C59" s="8" t="s">
        <v>15</v>
      </c>
      <c r="D59" s="8">
        <v>4</v>
      </c>
      <c r="E59" s="8">
        <v>1</v>
      </c>
      <c r="F59" s="8">
        <v>1</v>
      </c>
      <c r="G59" s="8" t="s">
        <v>11</v>
      </c>
      <c r="H59" s="8">
        <v>1</v>
      </c>
      <c r="I59" s="8">
        <v>0.09</v>
      </c>
      <c r="J59" s="8" t="s">
        <v>12</v>
      </c>
      <c r="K59" s="14">
        <v>46191</v>
      </c>
      <c r="L59" s="15">
        <v>46258</v>
      </c>
      <c r="M59" s="8">
        <v>67</v>
      </c>
      <c r="N59" s="8">
        <v>22.45</v>
      </c>
      <c r="O59" s="8">
        <v>2.65</v>
      </c>
      <c r="P59" s="8">
        <v>80</v>
      </c>
      <c r="Q59" s="8">
        <v>80</v>
      </c>
      <c r="R59" s="8">
        <v>80</v>
      </c>
      <c r="S59" s="18">
        <v>22000</v>
      </c>
      <c r="T59" s="24">
        <f>(S59*N59)/454</f>
        <v>1087.8854625550662</v>
      </c>
      <c r="U59" s="18">
        <f>T59/0.09</f>
        <v>12087.616250611847</v>
      </c>
      <c r="V59" s="18">
        <f>U59/7</f>
        <v>1726.8023215159781</v>
      </c>
      <c r="W59" s="8" t="s">
        <v>34</v>
      </c>
      <c r="X59" s="8" t="s">
        <v>30</v>
      </c>
      <c r="Y59" s="8" t="s">
        <v>34</v>
      </c>
      <c r="Z59" s="8" t="s">
        <v>36</v>
      </c>
      <c r="AA59" s="8">
        <v>1.27</v>
      </c>
      <c r="AB59" s="8"/>
      <c r="AC59" s="8"/>
      <c r="AD59" s="8"/>
      <c r="AE59" s="8"/>
    </row>
    <row r="60" spans="1:31" hidden="1" x14ac:dyDescent="0.3">
      <c r="A60" s="9">
        <v>2026</v>
      </c>
      <c r="B60" s="10">
        <v>35</v>
      </c>
      <c r="C60" s="8" t="s">
        <v>16</v>
      </c>
      <c r="D60" s="8">
        <v>5</v>
      </c>
      <c r="E60" s="8">
        <v>1</v>
      </c>
      <c r="F60" s="8">
        <v>1</v>
      </c>
      <c r="G60" s="8" t="s">
        <v>11</v>
      </c>
      <c r="H60" s="8">
        <v>1</v>
      </c>
      <c r="I60" s="8">
        <v>0.09</v>
      </c>
      <c r="J60" s="8" t="s">
        <v>12</v>
      </c>
      <c r="K60" s="14">
        <v>46191</v>
      </c>
      <c r="L60" s="15">
        <v>46258</v>
      </c>
      <c r="M60" s="8">
        <v>67</v>
      </c>
      <c r="N60" s="8">
        <v>24.08</v>
      </c>
      <c r="O60" s="8">
        <v>4.3</v>
      </c>
      <c r="P60" s="8">
        <v>80</v>
      </c>
      <c r="Q60" s="8">
        <v>80</v>
      </c>
      <c r="R60" s="8">
        <v>80</v>
      </c>
      <c r="S60" s="18">
        <v>22000</v>
      </c>
      <c r="T60" s="24">
        <f>S60*N60/454</f>
        <v>1166.8722466960353</v>
      </c>
      <c r="U60" s="18">
        <f>T60/0.09</f>
        <v>12965.247185511504</v>
      </c>
      <c r="V60" s="18">
        <f>U60/7</f>
        <v>1852.1781693587861</v>
      </c>
      <c r="W60" s="8" t="s">
        <v>34</v>
      </c>
      <c r="X60" s="8" t="s">
        <v>30</v>
      </c>
      <c r="Y60" s="8" t="s">
        <v>34</v>
      </c>
      <c r="Z60" s="8" t="s">
        <v>36</v>
      </c>
      <c r="AA60" s="8">
        <v>1.1599999999999999</v>
      </c>
      <c r="AB60" s="8"/>
      <c r="AC60" s="8"/>
      <c r="AD60" s="8"/>
      <c r="AE60" s="8"/>
    </row>
    <row r="61" spans="1:31" hidden="1" x14ac:dyDescent="0.3">
      <c r="A61" s="9">
        <v>2026</v>
      </c>
      <c r="B61" s="10">
        <v>35</v>
      </c>
      <c r="C61" s="8" t="s">
        <v>17</v>
      </c>
      <c r="D61" s="8">
        <v>6</v>
      </c>
      <c r="E61" s="8">
        <v>1</v>
      </c>
      <c r="F61" s="8">
        <v>1</v>
      </c>
      <c r="G61" s="8" t="s">
        <v>11</v>
      </c>
      <c r="H61" s="8">
        <v>1</v>
      </c>
      <c r="I61" s="8">
        <v>0.09</v>
      </c>
      <c r="J61" s="8" t="s">
        <v>12</v>
      </c>
      <c r="K61" s="14">
        <v>46191</v>
      </c>
      <c r="L61" s="15">
        <v>46258</v>
      </c>
      <c r="M61" s="8">
        <v>67</v>
      </c>
      <c r="N61" s="8">
        <v>22.73</v>
      </c>
      <c r="O61" s="8">
        <v>2.58</v>
      </c>
      <c r="P61" s="8">
        <v>80</v>
      </c>
      <c r="Q61" s="8">
        <v>80</v>
      </c>
      <c r="R61" s="8">
        <v>80</v>
      </c>
      <c r="S61" s="18">
        <v>22000</v>
      </c>
      <c r="T61" s="24">
        <f>S61*N61/454</f>
        <v>1101.4537444933922</v>
      </c>
      <c r="U61" s="18">
        <f>T61/0.09</f>
        <v>12238.374938815468</v>
      </c>
      <c r="V61" s="18">
        <f>U61/7</f>
        <v>1748.3392769736383</v>
      </c>
      <c r="W61" s="8" t="s">
        <v>34</v>
      </c>
      <c r="X61" s="8" t="s">
        <v>30</v>
      </c>
      <c r="Y61" s="8" t="s">
        <v>34</v>
      </c>
      <c r="Z61" s="8" t="s">
        <v>35</v>
      </c>
      <c r="AA61" s="8">
        <v>1.26</v>
      </c>
      <c r="AB61" s="8"/>
      <c r="AC61" s="8"/>
      <c r="AD61" s="8"/>
      <c r="AE61" s="8"/>
    </row>
    <row r="62" spans="1:31" x14ac:dyDescent="0.3">
      <c r="A62" s="9">
        <v>2026</v>
      </c>
      <c r="B62" s="10">
        <v>36</v>
      </c>
      <c r="C62" s="8" t="s">
        <v>10</v>
      </c>
      <c r="D62" s="8">
        <v>1</v>
      </c>
      <c r="E62" s="8">
        <v>1</v>
      </c>
      <c r="F62" s="8">
        <v>1</v>
      </c>
      <c r="G62" s="8" t="s">
        <v>11</v>
      </c>
      <c r="H62" s="8">
        <v>1</v>
      </c>
      <c r="I62" s="8">
        <v>0.09</v>
      </c>
      <c r="J62" s="8" t="s">
        <v>12</v>
      </c>
      <c r="K62" s="14">
        <v>46191</v>
      </c>
      <c r="L62" s="15">
        <v>46265</v>
      </c>
      <c r="M62" s="8">
        <v>74</v>
      </c>
      <c r="N62" s="26">
        <v>24.96</v>
      </c>
      <c r="O62" s="26">
        <v>3.7</v>
      </c>
      <c r="P62" s="8">
        <v>80</v>
      </c>
      <c r="Q62" s="8">
        <v>80</v>
      </c>
      <c r="R62" s="8">
        <v>80</v>
      </c>
      <c r="S62" s="18">
        <v>22000</v>
      </c>
      <c r="T62" s="23">
        <f>S62*N62/454</f>
        <v>1209.5154185022027</v>
      </c>
      <c r="U62" s="18">
        <f t="shared" ref="U62:U63" si="0">T62/0.09</f>
        <v>13439.06020558003</v>
      </c>
      <c r="V62" s="18">
        <v>1617.24</v>
      </c>
      <c r="W62" s="8" t="s">
        <v>34</v>
      </c>
      <c r="X62" s="8" t="s">
        <v>30</v>
      </c>
      <c r="Y62" s="8" t="s">
        <v>34</v>
      </c>
      <c r="Z62" s="8" t="s">
        <v>35</v>
      </c>
      <c r="AA62" s="7">
        <v>1.35</v>
      </c>
      <c r="AB62" s="8"/>
      <c r="AC62" s="8"/>
      <c r="AD62" s="8"/>
      <c r="AE62" s="8"/>
    </row>
    <row r="63" spans="1:31" x14ac:dyDescent="0.3">
      <c r="A63" s="9">
        <v>2026</v>
      </c>
      <c r="B63" s="10">
        <v>36</v>
      </c>
      <c r="C63" s="8" t="s">
        <v>13</v>
      </c>
      <c r="D63" s="8">
        <v>2</v>
      </c>
      <c r="E63" s="8">
        <v>1</v>
      </c>
      <c r="F63" s="8">
        <v>1</v>
      </c>
      <c r="G63" s="8" t="s">
        <v>11</v>
      </c>
      <c r="H63" s="8">
        <v>1</v>
      </c>
      <c r="I63" s="8">
        <v>0.09</v>
      </c>
      <c r="J63" s="8" t="s">
        <v>12</v>
      </c>
      <c r="K63" s="14">
        <v>46191</v>
      </c>
      <c r="L63" s="15">
        <v>46265</v>
      </c>
      <c r="M63" s="8">
        <v>74</v>
      </c>
      <c r="N63" s="26">
        <v>23.46</v>
      </c>
      <c r="O63" s="26">
        <v>2.4</v>
      </c>
      <c r="P63" s="8">
        <v>80</v>
      </c>
      <c r="Q63" s="8">
        <v>80</v>
      </c>
      <c r="R63" s="8">
        <v>80</v>
      </c>
      <c r="S63" s="18">
        <v>22000</v>
      </c>
      <c r="T63" s="23">
        <v>1136.828</v>
      </c>
      <c r="U63" s="18">
        <f t="shared" si="0"/>
        <v>12631.422222222222</v>
      </c>
      <c r="V63" s="18">
        <v>1616.81</v>
      </c>
      <c r="W63" s="8" t="s">
        <v>34</v>
      </c>
      <c r="X63" s="8" t="s">
        <v>30</v>
      </c>
      <c r="Y63" s="8" t="s">
        <v>34</v>
      </c>
      <c r="Z63" s="8" t="s">
        <v>35</v>
      </c>
      <c r="AA63" s="7">
        <v>1.35</v>
      </c>
      <c r="AB63" s="8"/>
      <c r="AC63" s="8"/>
      <c r="AD63" s="8"/>
      <c r="AE63" s="8"/>
    </row>
    <row r="64" spans="1:31" x14ac:dyDescent="0.3">
      <c r="A64" s="9">
        <v>2026</v>
      </c>
      <c r="B64" s="10">
        <v>36</v>
      </c>
      <c r="C64" s="8" t="s">
        <v>14</v>
      </c>
      <c r="D64" s="8">
        <v>3</v>
      </c>
      <c r="E64" s="8">
        <v>1</v>
      </c>
      <c r="F64" s="8">
        <v>1</v>
      </c>
      <c r="G64" s="8" t="s">
        <v>11</v>
      </c>
      <c r="H64" s="8">
        <v>1</v>
      </c>
      <c r="I64" s="8">
        <v>0.09</v>
      </c>
      <c r="J64" s="8" t="s">
        <v>12</v>
      </c>
      <c r="K64" s="14">
        <v>46191</v>
      </c>
      <c r="L64" s="15">
        <v>46265</v>
      </c>
      <c r="M64" s="8">
        <v>74</v>
      </c>
      <c r="N64" s="26">
        <v>26.62</v>
      </c>
      <c r="O64" s="26">
        <v>4.4000000000000004</v>
      </c>
      <c r="P64" s="8">
        <v>80</v>
      </c>
      <c r="Q64" s="8">
        <v>80</v>
      </c>
      <c r="R64" s="8">
        <v>80</v>
      </c>
      <c r="S64" s="18">
        <v>22000</v>
      </c>
      <c r="T64" s="23">
        <v>1289.9558999999999</v>
      </c>
      <c r="U64" s="18">
        <f>T64/0.09</f>
        <v>14332.843333333332</v>
      </c>
      <c r="V64" s="18">
        <f>U64/7</f>
        <v>2047.5490476190475</v>
      </c>
      <c r="W64" s="8" t="s">
        <v>34</v>
      </c>
      <c r="X64" s="8" t="s">
        <v>30</v>
      </c>
      <c r="Y64" s="8" t="s">
        <v>34</v>
      </c>
      <c r="Z64" s="8" t="s">
        <v>35</v>
      </c>
      <c r="AA64" s="7">
        <v>1.29</v>
      </c>
      <c r="AB64" s="8"/>
      <c r="AC64" s="8"/>
      <c r="AD64" s="8"/>
      <c r="AE64" s="8"/>
    </row>
    <row r="65" spans="1:31" x14ac:dyDescent="0.3">
      <c r="A65" s="9">
        <v>2026</v>
      </c>
      <c r="B65" s="10">
        <v>36</v>
      </c>
      <c r="C65" s="8" t="s">
        <v>15</v>
      </c>
      <c r="D65" s="8">
        <v>4</v>
      </c>
      <c r="E65" s="8">
        <v>1</v>
      </c>
      <c r="F65" s="8">
        <v>1</v>
      </c>
      <c r="G65" s="8" t="s">
        <v>11</v>
      </c>
      <c r="H65" s="8">
        <v>1</v>
      </c>
      <c r="I65" s="8">
        <v>0.09</v>
      </c>
      <c r="J65" s="8" t="s">
        <v>12</v>
      </c>
      <c r="K65" s="14">
        <v>46191</v>
      </c>
      <c r="L65" s="15">
        <v>46265</v>
      </c>
      <c r="M65" s="8">
        <v>74</v>
      </c>
      <c r="N65" s="26">
        <v>25.72</v>
      </c>
      <c r="O65" s="26">
        <v>3.3</v>
      </c>
      <c r="P65" s="8">
        <v>80</v>
      </c>
      <c r="Q65" s="8">
        <v>80</v>
      </c>
      <c r="R65" s="8">
        <v>80</v>
      </c>
      <c r="S65" s="18">
        <v>22000</v>
      </c>
      <c r="T65" s="24">
        <f>(S65*N65)/454</f>
        <v>1246.3436123348017</v>
      </c>
      <c r="U65" s="18">
        <f>T65/0.09</f>
        <v>13848.262359275575</v>
      </c>
      <c r="V65" s="18">
        <f>U65/7</f>
        <v>1978.3231941822251</v>
      </c>
      <c r="W65" s="8" t="s">
        <v>34</v>
      </c>
      <c r="X65" s="8" t="s">
        <v>30</v>
      </c>
      <c r="Y65" s="8" t="s">
        <v>34</v>
      </c>
      <c r="Z65" s="8" t="s">
        <v>35</v>
      </c>
      <c r="AA65" s="8">
        <v>1.27</v>
      </c>
      <c r="AB65" s="8"/>
      <c r="AC65" s="8"/>
      <c r="AD65" s="8"/>
      <c r="AE65" s="8"/>
    </row>
    <row r="66" spans="1:31" x14ac:dyDescent="0.3">
      <c r="A66" s="9">
        <v>2026</v>
      </c>
      <c r="B66" s="10">
        <v>36</v>
      </c>
      <c r="C66" s="8" t="s">
        <v>16</v>
      </c>
      <c r="D66" s="8">
        <v>5</v>
      </c>
      <c r="E66" s="8">
        <v>1</v>
      </c>
      <c r="F66" s="8">
        <v>1</v>
      </c>
      <c r="G66" s="8" t="s">
        <v>11</v>
      </c>
      <c r="H66" s="8">
        <v>1</v>
      </c>
      <c r="I66" s="8">
        <v>0.09</v>
      </c>
      <c r="J66" s="8" t="s">
        <v>12</v>
      </c>
      <c r="K66" s="14">
        <v>46191</v>
      </c>
      <c r="L66" s="15">
        <v>46265</v>
      </c>
      <c r="M66" s="8">
        <v>74</v>
      </c>
      <c r="N66" s="26">
        <v>26.51</v>
      </c>
      <c r="O66" s="26">
        <v>2.4</v>
      </c>
      <c r="P66" s="8">
        <v>80</v>
      </c>
      <c r="Q66" s="8">
        <v>80</v>
      </c>
      <c r="R66" s="8">
        <v>80</v>
      </c>
      <c r="S66" s="18">
        <v>22000</v>
      </c>
      <c r="T66" s="24">
        <f>S66*N66/454</f>
        <v>1284.6255506607929</v>
      </c>
      <c r="U66" s="18">
        <f>T66/0.09</f>
        <v>14273.617229564366</v>
      </c>
      <c r="V66" s="18">
        <f>U66/7</f>
        <v>2039.0881756520523</v>
      </c>
      <c r="W66" s="8" t="s">
        <v>34</v>
      </c>
      <c r="X66" s="8" t="s">
        <v>30</v>
      </c>
      <c r="Y66" s="8" t="s">
        <v>34</v>
      </c>
      <c r="Z66" s="8" t="s">
        <v>35</v>
      </c>
      <c r="AA66" s="8">
        <v>1.25</v>
      </c>
      <c r="AB66" s="8"/>
      <c r="AC66" s="8"/>
      <c r="AD66" s="8"/>
      <c r="AE66" s="8"/>
    </row>
    <row r="67" spans="1:31" x14ac:dyDescent="0.3">
      <c r="A67" s="9">
        <v>2026</v>
      </c>
      <c r="B67" s="10">
        <v>36</v>
      </c>
      <c r="C67" s="8" t="s">
        <v>17</v>
      </c>
      <c r="D67" s="8">
        <v>6</v>
      </c>
      <c r="E67" s="8">
        <v>1</v>
      </c>
      <c r="F67" s="8">
        <v>1</v>
      </c>
      <c r="G67" s="8" t="s">
        <v>11</v>
      </c>
      <c r="H67" s="8">
        <v>1</v>
      </c>
      <c r="I67" s="8">
        <v>0.09</v>
      </c>
      <c r="J67" s="8" t="s">
        <v>12</v>
      </c>
      <c r="K67" s="14">
        <v>46191</v>
      </c>
      <c r="L67" s="15">
        <v>46265</v>
      </c>
      <c r="M67" s="8">
        <v>74</v>
      </c>
      <c r="N67" s="26">
        <v>25.26</v>
      </c>
      <c r="O67" s="8">
        <v>2.5</v>
      </c>
      <c r="P67" s="8">
        <v>80</v>
      </c>
      <c r="Q67" s="8">
        <v>80</v>
      </c>
      <c r="R67" s="8">
        <v>80</v>
      </c>
      <c r="S67" s="18">
        <v>22000</v>
      </c>
      <c r="T67" s="24">
        <f>S67*N67/454</f>
        <v>1224.0528634361233</v>
      </c>
      <c r="U67" s="18">
        <f>T67/0.09</f>
        <v>13600.587371512482</v>
      </c>
      <c r="V67" s="18">
        <f>U67/7</f>
        <v>1942.9410530732116</v>
      </c>
      <c r="W67" s="8" t="s">
        <v>34</v>
      </c>
      <c r="X67" s="8" t="s">
        <v>30</v>
      </c>
      <c r="Y67" s="8" t="s">
        <v>34</v>
      </c>
      <c r="Z67" s="8" t="s">
        <v>35</v>
      </c>
      <c r="AA67" s="8">
        <v>1.26</v>
      </c>
      <c r="AB67" s="8"/>
      <c r="AC67" s="8"/>
      <c r="AD67" s="8"/>
      <c r="AE67" s="8"/>
    </row>
  </sheetData>
  <autoFilter ref="A1:AE67" xr:uid="{FB901F4C-F789-4902-887C-1D2717126825}">
    <filterColumn colId="1">
      <filters>
        <filter val="3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Alcivar</dc:creator>
  <cp:lastModifiedBy>César Alcivar</cp:lastModifiedBy>
  <dcterms:created xsi:type="dcterms:W3CDTF">2026-08-25T00:32:31Z</dcterms:created>
  <dcterms:modified xsi:type="dcterms:W3CDTF">2026-09-02T02:30:07Z</dcterms:modified>
</cp:coreProperties>
</file>